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barlow/Documents/Athletics/Markings/"/>
    </mc:Choice>
  </mc:AlternateContent>
  <xr:revisionPtr revIDLastSave="0" documentId="13_ncr:1_{1AF8F591-B254-184E-88C2-B38C2A35DF60}" xr6:coauthVersionLast="47" xr6:coauthVersionMax="47" xr10:uidLastSave="{00000000-0000-0000-0000-000000000000}"/>
  <bookViews>
    <workbookView xWindow="0" yWindow="740" windowWidth="29400" windowHeight="17380" activeTab="1" xr2:uid="{054AA464-5AA6-3D4F-A4D0-24DBE7FD33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2" l="1"/>
  <c r="C45" i="2"/>
  <c r="C46" i="2" s="1"/>
  <c r="E45" i="2"/>
  <c r="E46" i="2" s="1"/>
  <c r="F45" i="2"/>
  <c r="F46" i="2" s="1"/>
  <c r="G45" i="2"/>
  <c r="G46" i="2" s="1"/>
  <c r="B45" i="2"/>
  <c r="B46" i="2" s="1"/>
  <c r="D35" i="2"/>
  <c r="D45" i="2" s="1"/>
  <c r="D46" i="2" s="1"/>
  <c r="F29" i="1"/>
  <c r="E23" i="1"/>
  <c r="E29" i="1" s="1"/>
  <c r="D22" i="1"/>
  <c r="D21" i="1"/>
  <c r="D23" i="1" s="1"/>
  <c r="H45" i="2" l="1"/>
  <c r="H46" i="2" s="1"/>
  <c r="F32" i="1"/>
  <c r="D18" i="1"/>
  <c r="D16" i="1"/>
  <c r="D15" i="1"/>
  <c r="D14" i="1"/>
  <c r="D13" i="1"/>
  <c r="D12" i="1"/>
  <c r="D11" i="1"/>
  <c r="D8" i="1"/>
  <c r="D6" i="1"/>
  <c r="D5" i="1"/>
  <c r="D7" i="1" s="1"/>
  <c r="D3" i="1"/>
  <c r="D2" i="1"/>
  <c r="D4" i="1" s="1"/>
</calcChain>
</file>

<file path=xl/sharedStrings.xml><?xml version="1.0" encoding="utf-8"?>
<sst xmlns="http://schemas.openxmlformats.org/spreadsheetml/2006/main" count="59" uniqueCount="54">
  <si>
    <t>senior shot</t>
  </si>
  <si>
    <t>per sector</t>
  </si>
  <si>
    <t>number</t>
  </si>
  <si>
    <t>total</t>
  </si>
  <si>
    <t>junior shot</t>
  </si>
  <si>
    <t>senior discus</t>
  </si>
  <si>
    <t>junior discus</t>
  </si>
  <si>
    <t>javelin</t>
  </si>
  <si>
    <t>hurdles</t>
  </si>
  <si>
    <t>flights</t>
  </si>
  <si>
    <t>circular</t>
  </si>
  <si>
    <t>relay</t>
  </si>
  <si>
    <t>line marker</t>
  </si>
  <si>
    <t>Packs</t>
  </si>
  <si>
    <t>starts</t>
  </si>
  <si>
    <t>Hurdles Track</t>
  </si>
  <si>
    <t>50m</t>
  </si>
  <si>
    <t>60m</t>
  </si>
  <si>
    <t>70m</t>
  </si>
  <si>
    <t>80m</t>
  </si>
  <si>
    <t>90m</t>
  </si>
  <si>
    <t>100m</t>
  </si>
  <si>
    <t>110m</t>
  </si>
  <si>
    <t>Blue</t>
  </si>
  <si>
    <t>White</t>
  </si>
  <si>
    <t>60m Hurdles</t>
  </si>
  <si>
    <t>0m</t>
  </si>
  <si>
    <t>80m Hurdles</t>
  </si>
  <si>
    <t>90m Hurdles</t>
  </si>
  <si>
    <t>100m Hurdles</t>
  </si>
  <si>
    <t>110m Hurdles</t>
  </si>
  <si>
    <t>Straight Track</t>
  </si>
  <si>
    <t>Key Points</t>
  </si>
  <si>
    <t>Discus</t>
  </si>
  <si>
    <t>Shot</t>
  </si>
  <si>
    <t>Javelin</t>
  </si>
  <si>
    <t>200m (A is already one)</t>
  </si>
  <si>
    <t>400m (D is already one)</t>
  </si>
  <si>
    <t>800m (D is already one)</t>
  </si>
  <si>
    <t>Relay Start/End</t>
  </si>
  <si>
    <t>Relay Mid (200m already done)</t>
  </si>
  <si>
    <t>1500m</t>
  </si>
  <si>
    <t>3000m (A is already one)</t>
  </si>
  <si>
    <t>800m Break (B is already one)</t>
  </si>
  <si>
    <t>Total</t>
  </si>
  <si>
    <t>Boxes</t>
  </si>
  <si>
    <t>Throws</t>
  </si>
  <si>
    <t>Circular Track</t>
  </si>
  <si>
    <t>Orange</t>
  </si>
  <si>
    <t>Pink</t>
  </si>
  <si>
    <t>Red</t>
  </si>
  <si>
    <t>Yellow</t>
  </si>
  <si>
    <t>Circular Hurdles (6 lanes)</t>
  </si>
  <si>
    <t>500m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</si>
</sst>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83F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0" fontId="0" fillId="0" borderId="28" xfId="0" applyBorder="1"/>
    <xf numFmtId="0" fontId="0" fillId="0" borderId="32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8" borderId="33" xfId="0" applyFont="1" applyFill="1" applyBorder="1"/>
    <xf numFmtId="0" fontId="2" fillId="8" borderId="34" xfId="0" applyFont="1" applyFill="1" applyBorder="1"/>
    <xf numFmtId="0" fontId="2" fillId="0" borderId="34" xfId="0" applyFont="1" applyBorder="1"/>
    <xf numFmtId="0" fontId="2" fillId="0" borderId="35" xfId="0" applyFont="1" applyBorder="1"/>
    <xf numFmtId="0" fontId="2" fillId="0" borderId="0" xfId="0" applyFont="1"/>
    <xf numFmtId="0" fontId="2" fillId="8" borderId="4" xfId="0" applyFont="1" applyFill="1" applyBorder="1"/>
    <xf numFmtId="0" fontId="2" fillId="0" borderId="23" xfId="0" applyFont="1" applyBorder="1"/>
    <xf numFmtId="0" fontId="2" fillId="0" borderId="4" xfId="0" applyFont="1" applyBorder="1"/>
    <xf numFmtId="0" fontId="2" fillId="8" borderId="23" xfId="0" applyFont="1" applyFill="1" applyBorder="1"/>
    <xf numFmtId="0" fontId="2" fillId="8" borderId="0" xfId="0" applyFont="1" applyFill="1"/>
    <xf numFmtId="0" fontId="2" fillId="0" borderId="29" xfId="0" applyFont="1" applyBorder="1"/>
    <xf numFmtId="0" fontId="2" fillId="0" borderId="30" xfId="0" applyFont="1" applyBorder="1"/>
    <xf numFmtId="0" fontId="2" fillId="8" borderId="30" xfId="0" applyFont="1" applyFill="1" applyBorder="1"/>
    <xf numFmtId="0" fontId="2" fillId="0" borderId="31" xfId="0" applyFont="1" applyBorder="1"/>
    <xf numFmtId="0" fontId="2" fillId="8" borderId="29" xfId="0" applyFont="1" applyFill="1" applyBorder="1"/>
    <xf numFmtId="0" fontId="2" fillId="8" borderId="2" xfId="0" applyFont="1" applyFill="1" applyBorder="1"/>
    <xf numFmtId="0" fontId="2" fillId="0" borderId="21" xfId="0" applyFont="1" applyBorder="1"/>
    <xf numFmtId="0" fontId="2" fillId="0" borderId="6" xfId="0" applyFont="1" applyBorder="1"/>
    <xf numFmtId="0" fontId="2" fillId="0" borderId="7" xfId="0" applyFont="1" applyBorder="1"/>
    <xf numFmtId="0" fontId="2" fillId="8" borderId="25" xfId="0" applyFont="1" applyFill="1" applyBorder="1"/>
    <xf numFmtId="0" fontId="2" fillId="0" borderId="25" xfId="0" applyFont="1" applyBorder="1"/>
    <xf numFmtId="0" fontId="2" fillId="0" borderId="9" xfId="0" applyFont="1" applyBorder="1"/>
    <xf numFmtId="0" fontId="2" fillId="8" borderId="10" xfId="0" applyFont="1" applyFill="1" applyBorder="1"/>
    <xf numFmtId="0" fontId="2" fillId="0" borderId="10" xfId="0" applyFont="1" applyBorder="1"/>
    <xf numFmtId="0" fontId="2" fillId="0" borderId="27" xfId="0" applyFont="1" applyBorder="1"/>
    <xf numFmtId="0" fontId="2" fillId="8" borderId="1" xfId="0" applyFont="1" applyFill="1" applyBorder="1"/>
    <xf numFmtId="0" fontId="2" fillId="8" borderId="31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2" fillId="0" borderId="18" xfId="0" applyFont="1" applyBorder="1"/>
    <xf numFmtId="0" fontId="2" fillId="8" borderId="7" xfId="0" applyFont="1" applyFill="1" applyBorder="1"/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3F9"/>
      <color rgb="FFFF5E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1843-E9D6-1A47-833F-5A6C650B1AAD}">
  <dimension ref="A1:F32"/>
  <sheetViews>
    <sheetView workbookViewId="0">
      <selection activeCell="A12" sqref="A12:E15"/>
    </sheetView>
  </sheetViews>
  <sheetFormatPr baseColWidth="10" defaultRowHeight="16" x14ac:dyDescent="0.2"/>
  <sheetData>
    <row r="1" spans="1:5" x14ac:dyDescent="0.2">
      <c r="B1" t="s">
        <v>1</v>
      </c>
      <c r="C1" t="s">
        <v>2</v>
      </c>
      <c r="D1" t="s">
        <v>3</v>
      </c>
      <c r="E1" t="s">
        <v>13</v>
      </c>
    </row>
    <row r="2" spans="1:5" x14ac:dyDescent="0.2">
      <c r="A2" s="4" t="s">
        <v>0</v>
      </c>
      <c r="B2" s="4">
        <v>6</v>
      </c>
      <c r="C2" s="4">
        <v>3</v>
      </c>
      <c r="D2" s="4">
        <f>B2*C2</f>
        <v>18</v>
      </c>
      <c r="E2" s="4"/>
    </row>
    <row r="3" spans="1:5" x14ac:dyDescent="0.2">
      <c r="A3" s="4" t="s">
        <v>4</v>
      </c>
      <c r="B3" s="4">
        <v>4</v>
      </c>
      <c r="C3" s="4">
        <v>3</v>
      </c>
      <c r="D3" s="4">
        <f>B3*C3</f>
        <v>12</v>
      </c>
      <c r="E3" s="4"/>
    </row>
    <row r="4" spans="1:5" x14ac:dyDescent="0.2">
      <c r="A4" s="4" t="s">
        <v>3</v>
      </c>
      <c r="B4" s="4"/>
      <c r="C4" s="4"/>
      <c r="D4" s="5">
        <f>SUM(D2:D3)</f>
        <v>30</v>
      </c>
      <c r="E4" s="4">
        <v>2</v>
      </c>
    </row>
    <row r="5" spans="1:5" x14ac:dyDescent="0.2">
      <c r="A5" s="1" t="s">
        <v>5</v>
      </c>
      <c r="B5" s="1">
        <v>12</v>
      </c>
      <c r="C5" s="1">
        <v>1</v>
      </c>
      <c r="D5" s="1">
        <f>B5*C5</f>
        <v>12</v>
      </c>
      <c r="E5" s="1"/>
    </row>
    <row r="6" spans="1:5" x14ac:dyDescent="0.2">
      <c r="A6" s="1" t="s">
        <v>6</v>
      </c>
      <c r="B6" s="1">
        <v>4</v>
      </c>
      <c r="C6" s="1">
        <v>3</v>
      </c>
      <c r="D6" s="1">
        <f>C6*B6</f>
        <v>12</v>
      </c>
      <c r="E6" s="1"/>
    </row>
    <row r="7" spans="1:5" x14ac:dyDescent="0.2">
      <c r="A7" s="1"/>
      <c r="B7" s="1"/>
      <c r="C7" s="1"/>
      <c r="D7" s="1">
        <f>SUM(D5:D6)</f>
        <v>24</v>
      </c>
      <c r="E7" s="1">
        <v>1</v>
      </c>
    </row>
    <row r="8" spans="1:5" x14ac:dyDescent="0.2">
      <c r="A8" s="3" t="s">
        <v>7</v>
      </c>
      <c r="B8" s="3">
        <v>13</v>
      </c>
      <c r="C8" s="3">
        <v>1</v>
      </c>
      <c r="D8" s="3">
        <f>C8*B8</f>
        <v>13</v>
      </c>
      <c r="E8" s="3">
        <v>1</v>
      </c>
    </row>
    <row r="10" spans="1:5" x14ac:dyDescent="0.2">
      <c r="A10" t="s">
        <v>8</v>
      </c>
      <c r="B10" t="s">
        <v>9</v>
      </c>
    </row>
    <row r="11" spans="1:5" x14ac:dyDescent="0.2">
      <c r="A11" s="3">
        <v>60</v>
      </c>
      <c r="B11" s="3">
        <v>6</v>
      </c>
      <c r="C11" s="3">
        <v>2</v>
      </c>
      <c r="D11" s="3">
        <f t="shared" ref="D11:D16" si="0">C11*B11</f>
        <v>12</v>
      </c>
      <c r="E11" s="3">
        <v>1</v>
      </c>
    </row>
    <row r="12" spans="1:5" x14ac:dyDescent="0.2">
      <c r="A12" s="6">
        <v>80</v>
      </c>
      <c r="B12" s="6">
        <v>9</v>
      </c>
      <c r="C12" s="6">
        <v>2</v>
      </c>
      <c r="D12" s="6">
        <f t="shared" si="0"/>
        <v>18</v>
      </c>
      <c r="E12" s="6">
        <v>1</v>
      </c>
    </row>
    <row r="13" spans="1:5" x14ac:dyDescent="0.2">
      <c r="A13" s="2">
        <v>90</v>
      </c>
      <c r="B13" s="2">
        <v>9</v>
      </c>
      <c r="C13" s="2">
        <v>2</v>
      </c>
      <c r="D13" s="2">
        <f t="shared" si="0"/>
        <v>18</v>
      </c>
      <c r="E13" s="2">
        <v>1</v>
      </c>
    </row>
    <row r="14" spans="1:5" x14ac:dyDescent="0.2">
      <c r="A14" s="1">
        <v>100</v>
      </c>
      <c r="B14" s="1">
        <v>10</v>
      </c>
      <c r="C14" s="1">
        <v>2</v>
      </c>
      <c r="D14" s="1">
        <f t="shared" si="0"/>
        <v>20</v>
      </c>
      <c r="E14" s="1">
        <v>1</v>
      </c>
    </row>
    <row r="15" spans="1:5" x14ac:dyDescent="0.2">
      <c r="A15" s="4">
        <v>110</v>
      </c>
      <c r="B15" s="4">
        <v>10</v>
      </c>
      <c r="C15" s="4">
        <v>2</v>
      </c>
      <c r="D15" s="4">
        <f t="shared" si="0"/>
        <v>20</v>
      </c>
      <c r="E15" s="4">
        <v>1</v>
      </c>
    </row>
    <row r="16" spans="1:5" x14ac:dyDescent="0.2">
      <c r="A16" s="3" t="s">
        <v>10</v>
      </c>
      <c r="B16" s="3">
        <v>7</v>
      </c>
      <c r="C16" s="3">
        <v>5</v>
      </c>
      <c r="D16" s="3">
        <f t="shared" si="0"/>
        <v>35</v>
      </c>
      <c r="E16" s="3">
        <v>1</v>
      </c>
    </row>
    <row r="18" spans="1:6" x14ac:dyDescent="0.2">
      <c r="A18" s="1" t="s">
        <v>11</v>
      </c>
      <c r="B18" s="1">
        <v>16</v>
      </c>
      <c r="C18" s="1">
        <v>3</v>
      </c>
      <c r="D18" s="1">
        <f>C18*B18</f>
        <v>48</v>
      </c>
      <c r="E18" s="1">
        <v>2</v>
      </c>
    </row>
    <row r="20" spans="1:6" x14ac:dyDescent="0.2">
      <c r="A20" t="s">
        <v>14</v>
      </c>
    </row>
    <row r="21" spans="1:6" x14ac:dyDescent="0.2">
      <c r="A21" s="7">
        <v>1500</v>
      </c>
      <c r="B21" s="8">
        <v>8</v>
      </c>
      <c r="C21" s="8">
        <v>1</v>
      </c>
      <c r="D21" s="8">
        <f>C21*B21</f>
        <v>8</v>
      </c>
      <c r="E21" s="9"/>
    </row>
    <row r="22" spans="1:6" x14ac:dyDescent="0.2">
      <c r="A22" s="10">
        <v>3000</v>
      </c>
      <c r="B22" s="11">
        <v>8</v>
      </c>
      <c r="C22" s="11">
        <v>1</v>
      </c>
      <c r="D22" s="11">
        <f>C22*B22</f>
        <v>8</v>
      </c>
      <c r="E22" s="12"/>
    </row>
    <row r="23" spans="1:6" x14ac:dyDescent="0.2">
      <c r="A23" s="13"/>
      <c r="B23" s="14"/>
      <c r="C23" s="14"/>
      <c r="D23" s="14">
        <f>SUM(D21:D22)</f>
        <v>16</v>
      </c>
      <c r="E23" s="15">
        <f>1</f>
        <v>1</v>
      </c>
    </row>
    <row r="29" spans="1:6" x14ac:dyDescent="0.2">
      <c r="E29">
        <f>SUM(E4:E28)</f>
        <v>13</v>
      </c>
      <c r="F29">
        <f>E29*190</f>
        <v>2470</v>
      </c>
    </row>
    <row r="31" spans="1:6" x14ac:dyDescent="0.2">
      <c r="A31" t="s">
        <v>12</v>
      </c>
      <c r="E31">
        <v>1</v>
      </c>
      <c r="F31">
        <v>2900</v>
      </c>
    </row>
    <row r="32" spans="1:6" x14ac:dyDescent="0.2">
      <c r="F32">
        <f>SUM(F29:F31)</f>
        <v>5370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44D0-2172-5946-BC97-54A56E06FCE7}">
  <sheetPr>
    <pageSetUpPr fitToPage="1"/>
  </sheetPr>
  <dimension ref="A1:H48"/>
  <sheetViews>
    <sheetView tabSelected="1"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C38" sqref="C38"/>
    </sheetView>
  </sheetViews>
  <sheetFormatPr baseColWidth="10" defaultRowHeight="16" x14ac:dyDescent="0.2"/>
  <cols>
    <col min="1" max="1" width="27.33203125" bestFit="1" customWidth="1"/>
    <col min="2" max="7" width="10.83203125" style="33"/>
  </cols>
  <sheetData>
    <row r="1" spans="1:7" ht="17" thickBot="1" x14ac:dyDescent="0.25">
      <c r="B1" s="26" t="s">
        <v>24</v>
      </c>
      <c r="C1" s="27" t="s">
        <v>23</v>
      </c>
      <c r="D1" s="27" t="s">
        <v>48</v>
      </c>
      <c r="E1" s="27" t="s">
        <v>49</v>
      </c>
      <c r="F1" s="27" t="s">
        <v>51</v>
      </c>
      <c r="G1" s="28" t="s">
        <v>50</v>
      </c>
    </row>
    <row r="2" spans="1:7" ht="17" thickBot="1" x14ac:dyDescent="0.25">
      <c r="A2" s="25" t="s">
        <v>32</v>
      </c>
      <c r="B2" s="29">
        <v>4</v>
      </c>
      <c r="C2" s="30">
        <v>6</v>
      </c>
      <c r="D2" s="31"/>
      <c r="E2" s="31"/>
      <c r="F2" s="31"/>
      <c r="G2" s="32"/>
    </row>
    <row r="3" spans="1:7" ht="17" thickBot="1" x14ac:dyDescent="0.25"/>
    <row r="4" spans="1:7" x14ac:dyDescent="0.2">
      <c r="A4" s="61" t="s">
        <v>15</v>
      </c>
      <c r="B4" s="62"/>
      <c r="C4" s="62"/>
      <c r="D4" s="62"/>
      <c r="E4" s="62"/>
      <c r="F4" s="62"/>
      <c r="G4" s="63"/>
    </row>
    <row r="5" spans="1:7" x14ac:dyDescent="0.2">
      <c r="A5" s="21" t="s">
        <v>26</v>
      </c>
      <c r="B5" s="34">
        <v>2</v>
      </c>
      <c r="G5" s="35"/>
    </row>
    <row r="6" spans="1:7" x14ac:dyDescent="0.2">
      <c r="A6" s="21" t="s">
        <v>16</v>
      </c>
      <c r="B6" s="34">
        <v>2</v>
      </c>
      <c r="G6" s="35"/>
    </row>
    <row r="7" spans="1:7" x14ac:dyDescent="0.2">
      <c r="A7" s="21" t="s">
        <v>17</v>
      </c>
      <c r="B7" s="34">
        <v>2</v>
      </c>
      <c r="G7" s="35"/>
    </row>
    <row r="8" spans="1:7" x14ac:dyDescent="0.2">
      <c r="A8" s="21" t="s">
        <v>18</v>
      </c>
      <c r="B8" s="34">
        <v>2</v>
      </c>
      <c r="G8" s="35"/>
    </row>
    <row r="9" spans="1:7" x14ac:dyDescent="0.2">
      <c r="A9" s="21" t="s">
        <v>19</v>
      </c>
      <c r="B9" s="34">
        <v>2</v>
      </c>
      <c r="G9" s="35"/>
    </row>
    <row r="10" spans="1:7" x14ac:dyDescent="0.2">
      <c r="A10" s="21" t="s">
        <v>20</v>
      </c>
      <c r="B10" s="34">
        <v>2</v>
      </c>
      <c r="G10" s="35"/>
    </row>
    <row r="11" spans="1:7" x14ac:dyDescent="0.2">
      <c r="A11" s="21" t="s">
        <v>21</v>
      </c>
      <c r="B11" s="34">
        <v>2</v>
      </c>
      <c r="G11" s="35"/>
    </row>
    <row r="12" spans="1:7" x14ac:dyDescent="0.2">
      <c r="A12" s="21" t="s">
        <v>22</v>
      </c>
      <c r="B12" s="34">
        <v>2</v>
      </c>
      <c r="G12" s="35"/>
    </row>
    <row r="13" spans="1:7" x14ac:dyDescent="0.2">
      <c r="A13" s="21" t="s">
        <v>25</v>
      </c>
      <c r="B13" s="36"/>
      <c r="G13" s="37">
        <v>12</v>
      </c>
    </row>
    <row r="14" spans="1:7" x14ac:dyDescent="0.2">
      <c r="A14" s="21" t="s">
        <v>27</v>
      </c>
      <c r="B14" s="36"/>
      <c r="C14" s="38">
        <v>18</v>
      </c>
      <c r="G14" s="35"/>
    </row>
    <row r="15" spans="1:7" x14ac:dyDescent="0.2">
      <c r="A15" s="21" t="s">
        <v>28</v>
      </c>
      <c r="B15" s="36"/>
      <c r="E15" s="38">
        <v>18</v>
      </c>
      <c r="G15" s="35"/>
    </row>
    <row r="16" spans="1:7" x14ac:dyDescent="0.2">
      <c r="A16" s="21" t="s">
        <v>29</v>
      </c>
      <c r="B16" s="36"/>
      <c r="F16" s="38">
        <v>20</v>
      </c>
      <c r="G16" s="35"/>
    </row>
    <row r="17" spans="1:7" ht="17" thickBot="1" x14ac:dyDescent="0.25">
      <c r="A17" s="24" t="s">
        <v>30</v>
      </c>
      <c r="B17" s="39"/>
      <c r="C17" s="40"/>
      <c r="D17" s="41">
        <v>20</v>
      </c>
      <c r="E17" s="40"/>
      <c r="F17" s="40"/>
      <c r="G17" s="42"/>
    </row>
    <row r="18" spans="1:7" ht="17" thickBot="1" x14ac:dyDescent="0.25"/>
    <row r="19" spans="1:7" x14ac:dyDescent="0.2">
      <c r="A19" s="61" t="s">
        <v>31</v>
      </c>
      <c r="B19" s="62"/>
      <c r="C19" s="62"/>
      <c r="D19" s="62"/>
      <c r="E19" s="62"/>
      <c r="F19" s="62"/>
      <c r="G19" s="63"/>
    </row>
    <row r="20" spans="1:7" x14ac:dyDescent="0.2">
      <c r="A20" s="21" t="s">
        <v>26</v>
      </c>
      <c r="B20" s="34">
        <v>2</v>
      </c>
      <c r="G20" s="35"/>
    </row>
    <row r="21" spans="1:7" x14ac:dyDescent="0.2">
      <c r="A21" s="21" t="s">
        <v>16</v>
      </c>
      <c r="B21" s="34">
        <v>2</v>
      </c>
      <c r="G21" s="35"/>
    </row>
    <row r="22" spans="1:7" x14ac:dyDescent="0.2">
      <c r="A22" s="21" t="s">
        <v>18</v>
      </c>
      <c r="B22" s="34">
        <v>2</v>
      </c>
      <c r="G22" s="35"/>
    </row>
    <row r="23" spans="1:7" ht="17" thickBot="1" x14ac:dyDescent="0.25">
      <c r="A23" s="24" t="s">
        <v>21</v>
      </c>
      <c r="B23" s="43">
        <v>2</v>
      </c>
      <c r="C23" s="40"/>
      <c r="D23" s="40"/>
      <c r="E23" s="40"/>
      <c r="F23" s="40"/>
      <c r="G23" s="42"/>
    </row>
    <row r="24" spans="1:7" ht="17" thickBot="1" x14ac:dyDescent="0.25"/>
    <row r="25" spans="1:7" x14ac:dyDescent="0.2">
      <c r="A25" s="61" t="s">
        <v>46</v>
      </c>
      <c r="B25" s="62"/>
      <c r="C25" s="62"/>
      <c r="D25" s="62"/>
      <c r="E25" s="62"/>
      <c r="F25" s="62"/>
      <c r="G25" s="63"/>
    </row>
    <row r="26" spans="1:7" x14ac:dyDescent="0.2">
      <c r="A26" s="21" t="s">
        <v>33</v>
      </c>
      <c r="B26" s="36"/>
      <c r="D26" s="33">
        <v>4</v>
      </c>
      <c r="F26" s="33">
        <v>4</v>
      </c>
      <c r="G26" s="35">
        <v>4</v>
      </c>
    </row>
    <row r="27" spans="1:7" x14ac:dyDescent="0.2">
      <c r="A27" s="21" t="s">
        <v>34</v>
      </c>
      <c r="B27" s="36"/>
      <c r="D27" s="33">
        <v>12</v>
      </c>
      <c r="G27" s="35"/>
    </row>
    <row r="28" spans="1:7" ht="17" thickBot="1" x14ac:dyDescent="0.25">
      <c r="A28" s="24" t="s">
        <v>35</v>
      </c>
      <c r="B28" s="39"/>
      <c r="C28" s="40">
        <v>9</v>
      </c>
      <c r="D28" s="40"/>
      <c r="E28" s="40"/>
      <c r="F28" s="40"/>
      <c r="G28" s="42"/>
    </row>
    <row r="29" spans="1:7" ht="17" thickBot="1" x14ac:dyDescent="0.25"/>
    <row r="30" spans="1:7" x14ac:dyDescent="0.2">
      <c r="A30" s="61" t="s">
        <v>47</v>
      </c>
      <c r="B30" s="62"/>
      <c r="C30" s="62"/>
      <c r="D30" s="62"/>
      <c r="E30" s="62"/>
      <c r="F30" s="62"/>
      <c r="G30" s="63"/>
    </row>
    <row r="31" spans="1:7" x14ac:dyDescent="0.2">
      <c r="A31" s="20" t="s">
        <v>36</v>
      </c>
      <c r="B31" s="26"/>
      <c r="C31" s="27"/>
      <c r="D31" s="27"/>
      <c r="E31" s="44">
        <v>7</v>
      </c>
      <c r="F31" s="27"/>
      <c r="G31" s="45"/>
    </row>
    <row r="32" spans="1:7" x14ac:dyDescent="0.2">
      <c r="A32" s="21" t="s">
        <v>37</v>
      </c>
      <c r="B32" s="36"/>
      <c r="C32" s="38">
        <v>7</v>
      </c>
      <c r="G32" s="35"/>
    </row>
    <row r="33" spans="1:8" x14ac:dyDescent="0.2">
      <c r="A33" s="22" t="s">
        <v>38</v>
      </c>
      <c r="B33" s="46"/>
      <c r="C33" s="47"/>
      <c r="D33" s="47"/>
      <c r="E33" s="47"/>
      <c r="F33" s="47"/>
      <c r="G33" s="48">
        <v>7</v>
      </c>
    </row>
    <row r="34" spans="1:8" x14ac:dyDescent="0.2">
      <c r="A34" s="21"/>
      <c r="B34" s="36"/>
      <c r="G34" s="35"/>
    </row>
    <row r="35" spans="1:8" x14ac:dyDescent="0.2">
      <c r="A35" s="20" t="s">
        <v>39</v>
      </c>
      <c r="B35" s="26"/>
      <c r="C35" s="27"/>
      <c r="D35" s="44">
        <f>16*3</f>
        <v>48</v>
      </c>
      <c r="E35" s="27"/>
      <c r="F35" s="27"/>
      <c r="G35" s="45"/>
    </row>
    <row r="36" spans="1:8" x14ac:dyDescent="0.2">
      <c r="A36" s="22" t="s">
        <v>40</v>
      </c>
      <c r="B36" s="46"/>
      <c r="C36" s="47"/>
      <c r="D36" s="60">
        <v>16</v>
      </c>
      <c r="E36" s="47"/>
      <c r="F36" s="47"/>
      <c r="G36" s="49"/>
    </row>
    <row r="37" spans="1:8" x14ac:dyDescent="0.2">
      <c r="A37" s="21"/>
      <c r="B37" s="36"/>
      <c r="G37" s="35"/>
    </row>
    <row r="38" spans="1:8" x14ac:dyDescent="0.2">
      <c r="A38" s="23" t="s">
        <v>52</v>
      </c>
      <c r="B38" s="50"/>
      <c r="C38" s="51">
        <v>34</v>
      </c>
      <c r="D38" s="52"/>
      <c r="E38" s="52"/>
      <c r="F38" s="52"/>
      <c r="G38" s="53"/>
    </row>
    <row r="39" spans="1:8" x14ac:dyDescent="0.2">
      <c r="A39" s="21"/>
      <c r="B39" s="36"/>
      <c r="G39" s="35"/>
    </row>
    <row r="40" spans="1:8" x14ac:dyDescent="0.2">
      <c r="A40" s="20" t="s">
        <v>41</v>
      </c>
      <c r="B40" s="54">
        <v>8</v>
      </c>
      <c r="C40" s="27"/>
      <c r="D40" s="27"/>
      <c r="E40" s="27"/>
      <c r="F40" s="27"/>
      <c r="G40" s="45"/>
    </row>
    <row r="41" spans="1:8" x14ac:dyDescent="0.2">
      <c r="A41" s="21" t="s">
        <v>42</v>
      </c>
      <c r="B41" s="34">
        <v>7</v>
      </c>
      <c r="G41" s="35"/>
    </row>
    <row r="42" spans="1:8" x14ac:dyDescent="0.2">
      <c r="A42" s="21" t="s">
        <v>43</v>
      </c>
      <c r="B42" s="34">
        <v>7</v>
      </c>
      <c r="G42" s="35"/>
    </row>
    <row r="43" spans="1:8" ht="17" thickBot="1" x14ac:dyDescent="0.25">
      <c r="A43" s="24" t="s">
        <v>53</v>
      </c>
      <c r="B43" s="39"/>
      <c r="C43" s="40"/>
      <c r="D43" s="40"/>
      <c r="E43" s="40"/>
      <c r="F43" s="40"/>
      <c r="G43" s="55">
        <v>2</v>
      </c>
    </row>
    <row r="44" spans="1:8" ht="17" thickBot="1" x14ac:dyDescent="0.25"/>
    <row r="45" spans="1:8" x14ac:dyDescent="0.2">
      <c r="A45" s="18" t="s">
        <v>44</v>
      </c>
      <c r="B45" s="56">
        <f>SUM(B2:B44)</f>
        <v>50</v>
      </c>
      <c r="C45" s="57">
        <f>SUM(C2:C44)</f>
        <v>74</v>
      </c>
      <c r="D45" s="57">
        <f t="shared" ref="D45:G45" si="0">SUM(D2:D44)</f>
        <v>100</v>
      </c>
      <c r="E45" s="57">
        <f t="shared" si="0"/>
        <v>25</v>
      </c>
      <c r="F45" s="57">
        <f t="shared" si="0"/>
        <v>24</v>
      </c>
      <c r="G45" s="57">
        <f t="shared" si="0"/>
        <v>25</v>
      </c>
      <c r="H45" s="16">
        <f>SUM(B45:G45)</f>
        <v>298</v>
      </c>
    </row>
    <row r="46" spans="1:8" ht="17" thickBot="1" x14ac:dyDescent="0.25">
      <c r="A46" s="19" t="s">
        <v>45</v>
      </c>
      <c r="B46" s="58">
        <f>B45/25</f>
        <v>2</v>
      </c>
      <c r="C46" s="59">
        <f>C45/25</f>
        <v>2.96</v>
      </c>
      <c r="D46" s="59">
        <f t="shared" ref="D46:H46" si="1">D45/25</f>
        <v>4</v>
      </c>
      <c r="E46" s="59">
        <f t="shared" si="1"/>
        <v>1</v>
      </c>
      <c r="F46" s="59">
        <f t="shared" si="1"/>
        <v>0.96</v>
      </c>
      <c r="G46" s="59">
        <f t="shared" si="1"/>
        <v>1</v>
      </c>
      <c r="H46" s="17">
        <f t="shared" si="1"/>
        <v>11.92</v>
      </c>
    </row>
    <row r="48" spans="1:8" x14ac:dyDescent="0.2">
      <c r="B48" s="33">
        <v>1</v>
      </c>
      <c r="C48" s="33">
        <v>2</v>
      </c>
      <c r="D48" s="33">
        <v>4</v>
      </c>
      <c r="E48" s="33">
        <v>1</v>
      </c>
      <c r="F48" s="33">
        <v>1</v>
      </c>
      <c r="G48" s="33">
        <v>1</v>
      </c>
      <c r="H48">
        <f>SUM(B48:G48)</f>
        <v>10</v>
      </c>
    </row>
  </sheetData>
  <mergeCells count="4">
    <mergeCell ref="A4:G4"/>
    <mergeCell ref="A19:G19"/>
    <mergeCell ref="A25:G25"/>
    <mergeCell ref="A30:G30"/>
  </mergeCells>
  <pageMargins left="0.7" right="0.7" top="0.75" bottom="0.75" header="0.3" footer="0.3"/>
  <pageSetup paperSize="9" scale="7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Steven Barlow</cp:lastModifiedBy>
  <cp:lastPrinted>2023-08-06T14:08:27Z</cp:lastPrinted>
  <dcterms:created xsi:type="dcterms:W3CDTF">2022-09-15T09:41:30Z</dcterms:created>
  <dcterms:modified xsi:type="dcterms:W3CDTF">2024-08-24T23:25:22Z</dcterms:modified>
</cp:coreProperties>
</file>