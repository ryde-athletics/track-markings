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nbarlow/Documents/Little Athletics/Markings/"/>
    </mc:Choice>
  </mc:AlternateContent>
  <xr:revisionPtr revIDLastSave="0" documentId="13_ncr:1_{5E5628A4-995F-BB42-A318-06670CD0BD12}" xr6:coauthVersionLast="47" xr6:coauthVersionMax="47" xr10:uidLastSave="{00000000-0000-0000-0000-000000000000}"/>
  <bookViews>
    <workbookView xWindow="820" yWindow="1140" windowWidth="27520" windowHeight="14780" xr2:uid="{6D66A83A-93F4-A541-8AE0-E9F56D56876A}"/>
  </bookViews>
  <sheets>
    <sheet name="Throw Sector Measurements" sheetId="2" r:id="rId1"/>
  </sheets>
  <definedNames>
    <definedName name="_xlnm.Print_Area" localSheetId="0">'Throw Sector Measurements'!$A$1:$O$36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3" i="2" l="1"/>
  <c r="K33" i="2"/>
  <c r="I33" i="2"/>
  <c r="G33" i="2"/>
  <c r="E33" i="2"/>
  <c r="M34" i="2"/>
  <c r="L34" i="2"/>
  <c r="K34" i="2"/>
  <c r="J34" i="2"/>
  <c r="I34" i="2"/>
  <c r="H34" i="2"/>
  <c r="G34" i="2"/>
  <c r="F34" i="2"/>
  <c r="E34" i="2"/>
  <c r="D34" i="2"/>
  <c r="D30" i="2"/>
  <c r="L33" i="2"/>
  <c r="J33" i="2"/>
  <c r="H33" i="2"/>
  <c r="F33" i="2"/>
  <c r="D33" i="2"/>
  <c r="K21" i="2"/>
  <c r="I21" i="2"/>
  <c r="G21" i="2"/>
  <c r="E21" i="2"/>
  <c r="J21" i="2"/>
  <c r="K22" i="2" s="1"/>
  <c r="H21" i="2"/>
  <c r="H22" i="2" s="1"/>
  <c r="F21" i="2"/>
  <c r="D21" i="2"/>
  <c r="E22" i="2" s="1"/>
  <c r="D18" i="2"/>
  <c r="L9" i="2"/>
  <c r="L10" i="2" s="1"/>
  <c r="J9" i="2"/>
  <c r="J10" i="2" s="1"/>
  <c r="H9" i="2"/>
  <c r="H10" i="2" s="1"/>
  <c r="F9" i="2"/>
  <c r="F10" i="2" s="1"/>
  <c r="D9" i="2"/>
  <c r="D10" i="2" s="1"/>
  <c r="D6" i="2"/>
  <c r="G22" i="2" l="1"/>
  <c r="F22" i="2"/>
  <c r="J22" i="2"/>
  <c r="I22" i="2"/>
  <c r="D22" i="2"/>
  <c r="E9" i="2"/>
  <c r="E10" i="2" s="1"/>
  <c r="M9" i="2"/>
  <c r="M10" i="2" s="1"/>
  <c r="K9" i="2"/>
  <c r="K10" i="2" s="1"/>
  <c r="I9" i="2"/>
  <c r="I10" i="2" s="1"/>
  <c r="G9" i="2"/>
  <c r="G10" i="2" s="1"/>
</calcChain>
</file>

<file path=xl/sharedStrings.xml><?xml version="1.0" encoding="utf-8"?>
<sst xmlns="http://schemas.openxmlformats.org/spreadsheetml/2006/main" count="15" uniqueCount="9">
  <si>
    <t>Discus</t>
  </si>
  <si>
    <t>Circle Diameter</t>
  </si>
  <si>
    <t>Circle Radius</t>
  </si>
  <si>
    <t>Distance</t>
  </si>
  <si>
    <t>Sector Width</t>
  </si>
  <si>
    <t>Shot Put</t>
  </si>
  <si>
    <t>Javelin</t>
  </si>
  <si>
    <t>Runway Width</t>
  </si>
  <si>
    <t>Runway Arc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</si>
</sst>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3" borderId="1" xfId="0" applyFill="1" applyBorder="1"/>
    <xf numFmtId="2" fontId="0" fillId="3" borderId="9" xfId="0" applyNumberFormat="1" applyFill="1" applyBorder="1"/>
    <xf numFmtId="0" fontId="0" fillId="3" borderId="5" xfId="0" applyFill="1" applyBorder="1"/>
    <xf numFmtId="2" fontId="0" fillId="3" borderId="10" xfId="0" applyNumberFormat="1" applyFill="1" applyBorder="1"/>
    <xf numFmtId="0" fontId="0" fillId="3" borderId="9" xfId="0" applyFill="1" applyBorder="1"/>
    <xf numFmtId="2" fontId="0" fillId="3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0" fillId="3" borderId="10" xfId="0" applyFill="1" applyBorder="1"/>
    <xf numFmtId="2" fontId="0" fillId="3" borderId="5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8677-5989-D74E-9D95-80A89D0C6E8C}">
  <sheetPr>
    <pageSetUpPr fitToPage="1"/>
  </sheetPr>
  <dimension ref="B1:N35"/>
  <sheetViews>
    <sheetView tabSelected="1" workbookViewId="0">
      <selection activeCell="R20" sqref="R20"/>
    </sheetView>
  </sheetViews>
  <sheetFormatPr baseColWidth="10" defaultRowHeight="16" x14ac:dyDescent="0.2"/>
  <cols>
    <col min="1" max="2" width="2.83203125" customWidth="1"/>
    <col min="3" max="3" width="22.33203125" customWidth="1"/>
    <col min="14" max="15" width="2.83203125" customWidth="1"/>
  </cols>
  <sheetData>
    <row r="1" spans="2:14" ht="17" thickBot="1" x14ac:dyDescent="0.25"/>
    <row r="2" spans="2:14" ht="17" thickBo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ht="27" thickBot="1" x14ac:dyDescent="0.35">
      <c r="B3" s="4"/>
      <c r="C3" s="10" t="s">
        <v>0</v>
      </c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</row>
    <row r="4" spans="2:14" ht="10" customHeight="1" thickBot="1" x14ac:dyDescent="0.25"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</row>
    <row r="5" spans="2:14" x14ac:dyDescent="0.2">
      <c r="B5" s="4"/>
      <c r="C5" s="13" t="s">
        <v>1</v>
      </c>
      <c r="D5" s="14">
        <v>2.5</v>
      </c>
      <c r="E5" s="6"/>
      <c r="F5" s="6"/>
      <c r="G5" s="6"/>
      <c r="H5" s="6"/>
      <c r="I5" s="6"/>
      <c r="J5" s="6"/>
      <c r="K5" s="6"/>
      <c r="L5" s="6"/>
      <c r="M5" s="6"/>
      <c r="N5" s="5"/>
    </row>
    <row r="6" spans="2:14" ht="17" thickBot="1" x14ac:dyDescent="0.25">
      <c r="B6" s="4"/>
      <c r="C6" s="15" t="s">
        <v>2</v>
      </c>
      <c r="D6" s="16">
        <f>D5/2</f>
        <v>1.25</v>
      </c>
      <c r="E6" s="6"/>
      <c r="F6" s="6"/>
      <c r="G6" s="6"/>
      <c r="H6" s="6"/>
      <c r="I6" s="6"/>
      <c r="J6" s="6"/>
      <c r="K6" s="6"/>
      <c r="L6" s="6"/>
      <c r="M6" s="6"/>
      <c r="N6" s="5"/>
    </row>
    <row r="7" spans="2:14" ht="10" customHeight="1" thickBot="1" x14ac:dyDescent="0.25">
      <c r="B7" s="4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/>
    </row>
    <row r="8" spans="2:14" ht="17" thickBot="1" x14ac:dyDescent="0.25">
      <c r="B8" s="4"/>
      <c r="C8" s="6"/>
      <c r="D8" s="23">
        <v>10</v>
      </c>
      <c r="E8" s="24"/>
      <c r="F8" s="25">
        <v>20</v>
      </c>
      <c r="G8" s="26"/>
      <c r="H8" s="25">
        <v>30</v>
      </c>
      <c r="I8" s="26"/>
      <c r="J8" s="25">
        <v>40</v>
      </c>
      <c r="K8" s="26"/>
      <c r="L8" s="25">
        <v>50</v>
      </c>
      <c r="M8" s="26"/>
      <c r="N8" s="5"/>
    </row>
    <row r="9" spans="2:14" x14ac:dyDescent="0.2">
      <c r="B9" s="4"/>
      <c r="C9" s="17" t="s">
        <v>3</v>
      </c>
      <c r="D9" s="18">
        <f>D8</f>
        <v>10</v>
      </c>
      <c r="E9" s="19">
        <f>D9+$D$6</f>
        <v>11.25</v>
      </c>
      <c r="F9" s="18">
        <f>F8</f>
        <v>20</v>
      </c>
      <c r="G9" s="19">
        <f>F9+$D$6</f>
        <v>21.25</v>
      </c>
      <c r="H9" s="18">
        <f>H8</f>
        <v>30</v>
      </c>
      <c r="I9" s="19">
        <f>H9+$D$6</f>
        <v>31.25</v>
      </c>
      <c r="J9" s="18">
        <f>J8</f>
        <v>40</v>
      </c>
      <c r="K9" s="19">
        <f>J9+$D$6</f>
        <v>41.25</v>
      </c>
      <c r="L9" s="18">
        <f>L8</f>
        <v>50</v>
      </c>
      <c r="M9" s="19">
        <f>L9+$D$6</f>
        <v>51.25</v>
      </c>
      <c r="N9" s="5"/>
    </row>
    <row r="10" spans="2:14" ht="17" thickBot="1" x14ac:dyDescent="0.25">
      <c r="B10" s="4"/>
      <c r="C10" s="20" t="s">
        <v>4</v>
      </c>
      <c r="D10" s="21">
        <f>0.6*D9</f>
        <v>6</v>
      </c>
      <c r="E10" s="22">
        <f t="shared" ref="E10" si="0">0.6*E9</f>
        <v>6.75</v>
      </c>
      <c r="F10" s="21">
        <f>0.6*F9</f>
        <v>12</v>
      </c>
      <c r="G10" s="22">
        <f t="shared" ref="G10" si="1">0.6*G9</f>
        <v>12.75</v>
      </c>
      <c r="H10" s="21">
        <f>0.6*H9</f>
        <v>18</v>
      </c>
      <c r="I10" s="22">
        <f t="shared" ref="I10" si="2">0.6*I9</f>
        <v>18.75</v>
      </c>
      <c r="J10" s="21">
        <f>0.6*J9</f>
        <v>24</v>
      </c>
      <c r="K10" s="22">
        <f t="shared" ref="K10" si="3">0.6*K9</f>
        <v>24.75</v>
      </c>
      <c r="L10" s="21">
        <f>0.6*L9</f>
        <v>30</v>
      </c>
      <c r="M10" s="22">
        <f t="shared" ref="M10" si="4">0.6*M9</f>
        <v>30.75</v>
      </c>
      <c r="N10" s="5"/>
    </row>
    <row r="11" spans="2:14" ht="17" thickBot="1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9"/>
    </row>
    <row r="13" spans="2:14" ht="17" thickBot="1" x14ac:dyDescent="0.25"/>
    <row r="14" spans="2:14" ht="17" thickBot="1" x14ac:dyDescent="0.25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27" thickBot="1" x14ac:dyDescent="0.35">
      <c r="B15" s="4"/>
      <c r="C15" s="10" t="s">
        <v>5</v>
      </c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5"/>
    </row>
    <row r="16" spans="2:14" ht="17" thickBot="1" x14ac:dyDescent="0.25">
      <c r="B16" s="4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/>
    </row>
    <row r="17" spans="2:14" x14ac:dyDescent="0.2">
      <c r="B17" s="4"/>
      <c r="C17" s="13" t="s">
        <v>1</v>
      </c>
      <c r="D17" s="14">
        <v>2.1349999999999998</v>
      </c>
      <c r="E17" s="6"/>
      <c r="F17" s="6"/>
      <c r="G17" s="6"/>
      <c r="H17" s="6"/>
      <c r="I17" s="6"/>
      <c r="J17" s="6"/>
      <c r="K17" s="6"/>
      <c r="L17" s="6"/>
      <c r="M17" s="6"/>
      <c r="N17" s="5"/>
    </row>
    <row r="18" spans="2:14" ht="17" thickBot="1" x14ac:dyDescent="0.25">
      <c r="B18" s="4"/>
      <c r="C18" s="15" t="s">
        <v>2</v>
      </c>
      <c r="D18" s="16">
        <f>D17/2</f>
        <v>1.0674999999999999</v>
      </c>
      <c r="E18" s="6"/>
      <c r="F18" s="6"/>
      <c r="G18" s="6"/>
      <c r="H18" s="6"/>
      <c r="I18" s="6"/>
      <c r="J18" s="6"/>
      <c r="K18" s="6"/>
      <c r="L18" s="6"/>
      <c r="M18" s="6"/>
      <c r="N18" s="5"/>
    </row>
    <row r="19" spans="2:14" ht="17" thickBot="1" x14ac:dyDescent="0.25">
      <c r="B19" s="4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/>
    </row>
    <row r="20" spans="2:14" ht="17" thickBot="1" x14ac:dyDescent="0.25">
      <c r="B20" s="4"/>
      <c r="C20" s="6"/>
      <c r="D20" s="23">
        <v>5</v>
      </c>
      <c r="E20" s="24"/>
      <c r="F20" s="25">
        <v>10</v>
      </c>
      <c r="G20" s="26"/>
      <c r="H20" s="25">
        <v>15</v>
      </c>
      <c r="I20" s="26"/>
      <c r="J20" s="25">
        <v>20</v>
      </c>
      <c r="K20" s="26"/>
      <c r="L20" s="27"/>
      <c r="M20" s="27"/>
      <c r="N20" s="5"/>
    </row>
    <row r="21" spans="2:14" x14ac:dyDescent="0.2">
      <c r="B21" s="4"/>
      <c r="C21" s="17" t="s">
        <v>3</v>
      </c>
      <c r="D21" s="18">
        <f>D20</f>
        <v>5</v>
      </c>
      <c r="E21" s="19">
        <f>D21+$D$18</f>
        <v>6.0674999999999999</v>
      </c>
      <c r="F21" s="18">
        <f>F20</f>
        <v>10</v>
      </c>
      <c r="G21" s="19">
        <f>F21+$D$18</f>
        <v>11.067499999999999</v>
      </c>
      <c r="H21" s="18">
        <f>H20</f>
        <v>15</v>
      </c>
      <c r="I21" s="19">
        <f>H21+$D$18</f>
        <v>16.067499999999999</v>
      </c>
      <c r="J21" s="18">
        <f>J20</f>
        <v>20</v>
      </c>
      <c r="K21" s="19">
        <f>J21+$D$18</f>
        <v>21.067499999999999</v>
      </c>
      <c r="L21" s="28"/>
      <c r="M21" s="28"/>
      <c r="N21" s="5"/>
    </row>
    <row r="22" spans="2:14" ht="17" thickBot="1" x14ac:dyDescent="0.25">
      <c r="B22" s="4"/>
      <c r="C22" s="20" t="s">
        <v>4</v>
      </c>
      <c r="D22" s="21">
        <f>0.6*D21</f>
        <v>3</v>
      </c>
      <c r="E22" s="22">
        <f t="shared" ref="E22" si="5">0.6*E21</f>
        <v>3.6404999999999998</v>
      </c>
      <c r="F22" s="21">
        <f>0.6*F21</f>
        <v>6</v>
      </c>
      <c r="G22" s="22">
        <f t="shared" ref="G22" si="6">0.6*G21</f>
        <v>6.6404999999999994</v>
      </c>
      <c r="H22" s="21">
        <f>0.6*H21</f>
        <v>9</v>
      </c>
      <c r="I22" s="22">
        <f t="shared" ref="I22" si="7">0.6*I21</f>
        <v>9.6404999999999994</v>
      </c>
      <c r="J22" s="21">
        <f>0.6*J21</f>
        <v>12</v>
      </c>
      <c r="K22" s="22">
        <f t="shared" ref="K22" si="8">0.6*K21</f>
        <v>12.640499999999999</v>
      </c>
      <c r="L22" s="28"/>
      <c r="M22" s="28"/>
      <c r="N22" s="5"/>
    </row>
    <row r="23" spans="2:14" ht="17" thickBot="1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5" spans="2:14" ht="17" thickBot="1" x14ac:dyDescent="0.25"/>
    <row r="26" spans="2:14" ht="17" thickBot="1" x14ac:dyDescent="0.25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2:14" ht="27" thickBot="1" x14ac:dyDescent="0.35">
      <c r="B27" s="4"/>
      <c r="C27" s="10" t="s">
        <v>6</v>
      </c>
      <c r="D27" s="11"/>
      <c r="E27" s="11"/>
      <c r="F27" s="11"/>
      <c r="G27" s="11"/>
      <c r="H27" s="11"/>
      <c r="I27" s="11"/>
      <c r="J27" s="11"/>
      <c r="K27" s="11"/>
      <c r="L27" s="11"/>
      <c r="M27" s="12"/>
      <c r="N27" s="5"/>
    </row>
    <row r="28" spans="2:14" ht="17" thickBot="1" x14ac:dyDescent="0.25"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</row>
    <row r="29" spans="2:14" x14ac:dyDescent="0.2">
      <c r="B29" s="4"/>
      <c r="C29" s="13" t="s">
        <v>7</v>
      </c>
      <c r="D29" s="14">
        <v>4</v>
      </c>
      <c r="E29" s="6"/>
      <c r="F29" s="6"/>
      <c r="G29" s="6"/>
      <c r="H29" s="6"/>
      <c r="I29" s="6"/>
      <c r="J29" s="6"/>
      <c r="K29" s="6"/>
      <c r="L29" s="6"/>
      <c r="M29" s="6"/>
      <c r="N29" s="5"/>
    </row>
    <row r="30" spans="2:14" ht="17" thickBot="1" x14ac:dyDescent="0.25">
      <c r="B30" s="4"/>
      <c r="C30" s="15" t="s">
        <v>8</v>
      </c>
      <c r="D30" s="16">
        <f>8</f>
        <v>8</v>
      </c>
      <c r="E30" s="6"/>
      <c r="F30" s="6"/>
      <c r="G30" s="6"/>
      <c r="H30" s="6"/>
      <c r="I30" s="6"/>
      <c r="J30" s="6"/>
      <c r="K30" s="6"/>
      <c r="L30" s="6"/>
      <c r="M30" s="6"/>
      <c r="N30" s="5"/>
    </row>
    <row r="31" spans="2:14" ht="17" thickBot="1" x14ac:dyDescent="0.25">
      <c r="B31" s="4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</row>
    <row r="32" spans="2:14" ht="17" thickBot="1" x14ac:dyDescent="0.25">
      <c r="B32" s="4"/>
      <c r="C32" s="6"/>
      <c r="D32" s="23">
        <v>10</v>
      </c>
      <c r="E32" s="24"/>
      <c r="F32" s="25">
        <v>20</v>
      </c>
      <c r="G32" s="26"/>
      <c r="H32" s="25">
        <v>30</v>
      </c>
      <c r="I32" s="26"/>
      <c r="J32" s="25">
        <v>40</v>
      </c>
      <c r="K32" s="26"/>
      <c r="L32" s="25">
        <v>50</v>
      </c>
      <c r="M32" s="26"/>
      <c r="N32" s="5"/>
    </row>
    <row r="33" spans="2:14" x14ac:dyDescent="0.2">
      <c r="B33" s="4"/>
      <c r="C33" s="17" t="s">
        <v>3</v>
      </c>
      <c r="D33" s="18">
        <f>D32</f>
        <v>10</v>
      </c>
      <c r="E33" s="19">
        <f>D33+$D$30</f>
        <v>18</v>
      </c>
      <c r="F33" s="18">
        <f>F32</f>
        <v>20</v>
      </c>
      <c r="G33" s="19">
        <f>F33+$D$30</f>
        <v>28</v>
      </c>
      <c r="H33" s="18">
        <f>H32</f>
        <v>30</v>
      </c>
      <c r="I33" s="19">
        <f>H33+$D$30</f>
        <v>38</v>
      </c>
      <c r="J33" s="18">
        <f>J32</f>
        <v>40</v>
      </c>
      <c r="K33" s="19">
        <f>J33+$D$30</f>
        <v>48</v>
      </c>
      <c r="L33" s="18">
        <f>L32</f>
        <v>50</v>
      </c>
      <c r="M33" s="19">
        <f>L33+$D$30</f>
        <v>58</v>
      </c>
      <c r="N33" s="5"/>
    </row>
    <row r="34" spans="2:14" ht="17" thickBot="1" x14ac:dyDescent="0.25">
      <c r="B34" s="4"/>
      <c r="C34" s="20" t="s">
        <v>4</v>
      </c>
      <c r="D34" s="21">
        <f>0.5*D33</f>
        <v>5</v>
      </c>
      <c r="E34" s="22">
        <f t="shared" ref="E34:M34" si="9">0.5*E33</f>
        <v>9</v>
      </c>
      <c r="F34" s="21">
        <f t="shared" si="9"/>
        <v>10</v>
      </c>
      <c r="G34" s="22">
        <f t="shared" si="9"/>
        <v>14</v>
      </c>
      <c r="H34" s="21">
        <f t="shared" si="9"/>
        <v>15</v>
      </c>
      <c r="I34" s="22">
        <f t="shared" si="9"/>
        <v>19</v>
      </c>
      <c r="J34" s="21">
        <f t="shared" si="9"/>
        <v>20</v>
      </c>
      <c r="K34" s="22">
        <f t="shared" si="9"/>
        <v>24</v>
      </c>
      <c r="L34" s="21">
        <f t="shared" si="9"/>
        <v>25</v>
      </c>
      <c r="M34" s="22">
        <f t="shared" si="9"/>
        <v>29</v>
      </c>
      <c r="N34" s="5"/>
    </row>
    <row r="35" spans="2:14" ht="17" thickBot="1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</row>
  </sheetData>
  <mergeCells count="18">
    <mergeCell ref="C27:M27"/>
    <mergeCell ref="D32:E32"/>
    <mergeCell ref="F32:G32"/>
    <mergeCell ref="H32:I32"/>
    <mergeCell ref="J32:K32"/>
    <mergeCell ref="L32:M32"/>
    <mergeCell ref="C15:M15"/>
    <mergeCell ref="D20:E20"/>
    <mergeCell ref="F20:G20"/>
    <mergeCell ref="H20:I20"/>
    <mergeCell ref="J20:K20"/>
    <mergeCell ref="L20:M20"/>
    <mergeCell ref="D8:E8"/>
    <mergeCell ref="F8:G8"/>
    <mergeCell ref="H8:I8"/>
    <mergeCell ref="J8:K8"/>
    <mergeCell ref="L8:M8"/>
    <mergeCell ref="C3:M3"/>
  </mergeCells>
  <pageMargins left="0.7" right="0.7" top="0.75" bottom="0.75" header="0.3" footer="0.3"/>
  <pageSetup paperSize="9" scale="8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Throw Sector Measurements</vt:lpstr>
      <vt:lpstr>'Throw Sector Measurements'!Print_Area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2022-08-26T13:37:13Z</cp:lastPrinted>
  <dcterms:created xsi:type="dcterms:W3CDTF">2022-08-26T02:06:37Z</dcterms:created>
  <dcterms:modified xsi:type="dcterms:W3CDTF">2022-08-26T13:37:33Z</dcterms:modified>
</cp:coreProperties>
</file>