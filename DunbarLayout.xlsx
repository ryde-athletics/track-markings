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venbarlow/Documents/Athletics/Markings/"/>
    </mc:Choice>
  </mc:AlternateContent>
  <xr:revisionPtr revIDLastSave="0" documentId="13_ncr:1_{49858A6B-39DC-2149-B8FE-28F4586D4867}" xr6:coauthVersionLast="47" xr6:coauthVersionMax="47" xr10:uidLastSave="{00000000-0000-0000-0000-000000000000}"/>
  <bookViews>
    <workbookView xWindow="0" yWindow="740" windowWidth="29400" windowHeight="17380" xr2:uid="{E8AB9068-D317-4044-92F0-9148BCE181C7}"/>
  </bookViews>
  <sheets>
    <sheet name="Plan" sheetId="8" r:id="rId1"/>
    <sheet name="All" sheetId="14" r:id="rId2"/>
    <sheet name="Distances" sheetId="3" r:id="rId3"/>
    <sheet name="Lookups" sheetId="6" r:id="rId4"/>
    <sheet name="Lanes" sheetId="7" r:id="rId5"/>
    <sheet name="Landmarks" sheetId="10" r:id="rId6"/>
    <sheet name="Starts" sheetId="11" r:id="rId7"/>
    <sheet name="Relays" sheetId="12" r:id="rId8"/>
    <sheet name="Hurdles" sheetId="13" r:id="rId9"/>
  </sheets>
  <definedNames>
    <definedName name="AllPoints">All!$B:$D</definedName>
    <definedName name="Data">Lookups!$1:$10</definedName>
    <definedName name="DIstanceMultiplier">Lookups!$A$14</definedName>
    <definedName name="FullLap">Lookups!$A$13</definedName>
    <definedName name="Lane1Max">Lookups!$J$2</definedName>
    <definedName name="Lane2Max">Lookups!$J$3</definedName>
    <definedName name="Lane3Max">Lookups!$J$4</definedName>
    <definedName name="Lane4Max">Lookups!$J$5</definedName>
    <definedName name="Lane5Max">Lookups!$J$6</definedName>
    <definedName name="Lane6Max">Lookups!$J$7</definedName>
    <definedName name="Lane7Max">Lookups!$J$8</definedName>
    <definedName name="Lane8Max">Lookups!$J$9</definedName>
    <definedName name="Lane9Max">Lookups!$J$10</definedName>
    <definedName name="OutRadius">Lookups!$B$10</definedName>
    <definedName name="Radius">Lookups!$B$2</definedName>
    <definedName name="Straight">Lookups!$A$12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0" i="14" l="1"/>
  <c r="C180" i="14"/>
  <c r="B180" i="14"/>
  <c r="D179" i="14"/>
  <c r="C179" i="14"/>
  <c r="B179" i="14"/>
  <c r="D178" i="14"/>
  <c r="C178" i="14"/>
  <c r="B178" i="14"/>
  <c r="D177" i="14"/>
  <c r="C177" i="14"/>
  <c r="B177" i="14"/>
  <c r="D176" i="14"/>
  <c r="C176" i="14"/>
  <c r="B176" i="14"/>
  <c r="D175" i="14"/>
  <c r="C175" i="14"/>
  <c r="B175" i="14"/>
  <c r="D174" i="14"/>
  <c r="C174" i="14"/>
  <c r="B174" i="14"/>
  <c r="D173" i="14"/>
  <c r="C173" i="14"/>
  <c r="B173" i="14"/>
  <c r="D171" i="14"/>
  <c r="C171" i="14"/>
  <c r="B171" i="14"/>
  <c r="D170" i="14"/>
  <c r="C170" i="14"/>
  <c r="B170" i="14"/>
  <c r="D169" i="14"/>
  <c r="C169" i="14"/>
  <c r="B169" i="14"/>
  <c r="D168" i="14"/>
  <c r="C168" i="14"/>
  <c r="B168" i="14"/>
  <c r="D167" i="14"/>
  <c r="C167" i="14"/>
  <c r="B167" i="14"/>
  <c r="D166" i="14"/>
  <c r="C166" i="14"/>
  <c r="B166" i="14"/>
  <c r="D165" i="14"/>
  <c r="C165" i="14"/>
  <c r="B165" i="14"/>
  <c r="D164" i="14"/>
  <c r="C164" i="14"/>
  <c r="B164" i="14"/>
  <c r="B27" i="13"/>
  <c r="L13" i="13"/>
  <c r="L12" i="13"/>
  <c r="L11" i="13"/>
  <c r="L10" i="13"/>
  <c r="L9" i="13"/>
  <c r="L8" i="13"/>
  <c r="L7" i="13"/>
  <c r="L6" i="13"/>
  <c r="L5" i="13"/>
  <c r="L4" i="13"/>
  <c r="B19" i="13"/>
  <c r="B11" i="13"/>
  <c r="G25" i="13"/>
  <c r="F25" i="13"/>
  <c r="G24" i="13"/>
  <c r="G21" i="13"/>
  <c r="F21" i="13"/>
  <c r="G11" i="13"/>
  <c r="D26" i="13"/>
  <c r="F26" i="13" s="1"/>
  <c r="D25" i="13"/>
  <c r="D24" i="13"/>
  <c r="F24" i="13" s="1"/>
  <c r="D23" i="13"/>
  <c r="G23" i="13" s="1"/>
  <c r="D22" i="13"/>
  <c r="G22" i="13" s="1"/>
  <c r="D21" i="13"/>
  <c r="D19" i="13"/>
  <c r="G19" i="13" s="1"/>
  <c r="D13" i="13"/>
  <c r="F13" i="13" s="1"/>
  <c r="D12" i="13"/>
  <c r="G12" i="13" s="1"/>
  <c r="D11" i="13"/>
  <c r="F11" i="13" s="1"/>
  <c r="C20" i="13"/>
  <c r="A20" i="13" s="1"/>
  <c r="C12" i="13"/>
  <c r="A12" i="13" s="1"/>
  <c r="B20" i="13"/>
  <c r="B21" i="13" s="1"/>
  <c r="B22" i="13" s="1"/>
  <c r="B23" i="13" s="1"/>
  <c r="B24" i="13" s="1"/>
  <c r="B25" i="13" s="1"/>
  <c r="B26" i="13" s="1"/>
  <c r="B12" i="13"/>
  <c r="B13" i="13" s="1"/>
  <c r="B14" i="13" s="1"/>
  <c r="B15" i="13" s="1"/>
  <c r="B16" i="13" s="1"/>
  <c r="B17" i="13" s="1"/>
  <c r="B18" i="13" s="1"/>
  <c r="D18" i="13" s="1"/>
  <c r="A19" i="13"/>
  <c r="A11" i="13"/>
  <c r="C71" i="14"/>
  <c r="D71" i="14"/>
  <c r="C72" i="14"/>
  <c r="D72" i="14"/>
  <c r="C73" i="14"/>
  <c r="D73" i="14"/>
  <c r="C74" i="14"/>
  <c r="D74" i="14"/>
  <c r="C75" i="14"/>
  <c r="D75" i="14"/>
  <c r="C76" i="14"/>
  <c r="D76" i="14"/>
  <c r="C77" i="14"/>
  <c r="D77" i="14"/>
  <c r="C78" i="14"/>
  <c r="D78" i="14"/>
  <c r="D70" i="14"/>
  <c r="C70" i="14"/>
  <c r="F22" i="13" l="1"/>
  <c r="G26" i="13"/>
  <c r="D20" i="13"/>
  <c r="F19" i="13"/>
  <c r="F23" i="13"/>
  <c r="G18" i="13"/>
  <c r="F18" i="13"/>
  <c r="F12" i="13"/>
  <c r="D16" i="13"/>
  <c r="D17" i="13"/>
  <c r="D15" i="13"/>
  <c r="G13" i="13"/>
  <c r="D14" i="13"/>
  <c r="C21" i="13"/>
  <c r="C13" i="13"/>
  <c r="C38" i="6"/>
  <c r="C39" i="6" s="1"/>
  <c r="C37" i="6"/>
  <c r="C31" i="6"/>
  <c r="C32" i="6" s="1"/>
  <c r="C33" i="6" s="1"/>
  <c r="C34" i="6" s="1"/>
  <c r="C35" i="6" s="1"/>
  <c r="C36" i="6" s="1"/>
  <c r="C30" i="6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30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06" i="14"/>
  <c r="B107" i="14"/>
  <c r="B108" i="14"/>
  <c r="B109" i="14"/>
  <c r="B110" i="14"/>
  <c r="B111" i="14"/>
  <c r="B112" i="14"/>
  <c r="B105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81" i="14"/>
  <c r="B82" i="14"/>
  <c r="B83" i="14"/>
  <c r="B84" i="14"/>
  <c r="B85" i="14"/>
  <c r="B86" i="14"/>
  <c r="B87" i="14"/>
  <c r="B80" i="14"/>
  <c r="B71" i="14"/>
  <c r="B72" i="14"/>
  <c r="B73" i="14"/>
  <c r="B74" i="14"/>
  <c r="B75" i="14"/>
  <c r="B76" i="14"/>
  <c r="B77" i="14"/>
  <c r="B78" i="14"/>
  <c r="B70" i="14"/>
  <c r="B61" i="14"/>
  <c r="B62" i="14"/>
  <c r="B63" i="14"/>
  <c r="B64" i="14"/>
  <c r="B65" i="14"/>
  <c r="B66" i="14"/>
  <c r="B67" i="14"/>
  <c r="B68" i="14"/>
  <c r="B60" i="14"/>
  <c r="C50" i="14"/>
  <c r="D50" i="14"/>
  <c r="C51" i="14"/>
  <c r="D51" i="14"/>
  <c r="C52" i="14"/>
  <c r="D52" i="14"/>
  <c r="C53" i="14"/>
  <c r="D53" i="14"/>
  <c r="C54" i="14"/>
  <c r="D54" i="14"/>
  <c r="C55" i="14"/>
  <c r="D55" i="14"/>
  <c r="C56" i="14"/>
  <c r="D56" i="14"/>
  <c r="C57" i="14"/>
  <c r="D57" i="14"/>
  <c r="C58" i="14"/>
  <c r="D58" i="14"/>
  <c r="B58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42" i="14"/>
  <c r="B34" i="14"/>
  <c r="B35" i="14"/>
  <c r="B36" i="14"/>
  <c r="B37" i="14"/>
  <c r="B38" i="14"/>
  <c r="B39" i="14"/>
  <c r="B40" i="14"/>
  <c r="B33" i="14"/>
  <c r="B31" i="14"/>
  <c r="B25" i="14"/>
  <c r="B26" i="14"/>
  <c r="B27" i="14"/>
  <c r="B28" i="14"/>
  <c r="B29" i="14"/>
  <c r="B30" i="14"/>
  <c r="B24" i="14"/>
  <c r="B3" i="14"/>
  <c r="C3" i="14"/>
  <c r="D3" i="14"/>
  <c r="B4" i="14"/>
  <c r="C4" i="14"/>
  <c r="D4" i="14"/>
  <c r="B5" i="14"/>
  <c r="C5" i="14"/>
  <c r="D5" i="14"/>
  <c r="B6" i="14"/>
  <c r="C6" i="14"/>
  <c r="D6" i="14"/>
  <c r="B7" i="14"/>
  <c r="C7" i="14"/>
  <c r="D7" i="14"/>
  <c r="B8" i="14"/>
  <c r="C8" i="14"/>
  <c r="D8" i="14"/>
  <c r="B9" i="14"/>
  <c r="C9" i="14"/>
  <c r="D9" i="14"/>
  <c r="B10" i="14"/>
  <c r="C10" i="14"/>
  <c r="D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B16" i="14"/>
  <c r="C16" i="14"/>
  <c r="D16" i="14"/>
  <c r="B17" i="14"/>
  <c r="C17" i="14"/>
  <c r="D17" i="14"/>
  <c r="B18" i="14"/>
  <c r="C18" i="14"/>
  <c r="D18" i="14"/>
  <c r="B19" i="14"/>
  <c r="C19" i="14"/>
  <c r="D19" i="14"/>
  <c r="B20" i="14"/>
  <c r="C20" i="14"/>
  <c r="D20" i="14"/>
  <c r="B21" i="14"/>
  <c r="C21" i="14"/>
  <c r="D21" i="14"/>
  <c r="B22" i="14"/>
  <c r="C22" i="14"/>
  <c r="D22" i="14"/>
  <c r="C2" i="14"/>
  <c r="D2" i="14"/>
  <c r="B2" i="14"/>
  <c r="B247" i="3"/>
  <c r="C247" i="3"/>
  <c r="B248" i="3"/>
  <c r="C248" i="3"/>
  <c r="B249" i="3"/>
  <c r="C249" i="3"/>
  <c r="B250" i="3"/>
  <c r="C250" i="3"/>
  <c r="B251" i="3"/>
  <c r="C251" i="3"/>
  <c r="B252" i="3"/>
  <c r="C252" i="3"/>
  <c r="B253" i="3"/>
  <c r="C253" i="3"/>
  <c r="A253" i="3"/>
  <c r="A252" i="3"/>
  <c r="A251" i="3"/>
  <c r="A250" i="3"/>
  <c r="A249" i="3"/>
  <c r="A248" i="3"/>
  <c r="A247" i="3"/>
  <c r="A246" i="3"/>
  <c r="D253" i="3"/>
  <c r="D247" i="3"/>
  <c r="D248" i="3"/>
  <c r="D249" i="3"/>
  <c r="D250" i="3"/>
  <c r="D251" i="3"/>
  <c r="D252" i="3"/>
  <c r="D246" i="3"/>
  <c r="B246" i="3"/>
  <c r="C246" i="3"/>
  <c r="B139" i="3"/>
  <c r="B143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B119" i="3"/>
  <c r="C119" i="3"/>
  <c r="B120" i="3"/>
  <c r="C120" i="3"/>
  <c r="B121" i="3"/>
  <c r="C121" i="3"/>
  <c r="B122" i="3"/>
  <c r="C122" i="3"/>
  <c r="A122" i="3"/>
  <c r="A121" i="3"/>
  <c r="A120" i="3"/>
  <c r="A119" i="3"/>
  <c r="B114" i="3"/>
  <c r="C114" i="3"/>
  <c r="B115" i="3"/>
  <c r="C115" i="3"/>
  <c r="B116" i="3"/>
  <c r="C116" i="3"/>
  <c r="A116" i="3"/>
  <c r="A115" i="3"/>
  <c r="A114" i="3"/>
  <c r="D115" i="3"/>
  <c r="D116" i="3"/>
  <c r="D114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D104" i="3"/>
  <c r="D105" i="3"/>
  <c r="D106" i="3"/>
  <c r="D107" i="3"/>
  <c r="D108" i="3"/>
  <c r="D109" i="3"/>
  <c r="D110" i="3"/>
  <c r="D111" i="3"/>
  <c r="D96" i="3"/>
  <c r="D97" i="3"/>
  <c r="D98" i="3"/>
  <c r="D99" i="3"/>
  <c r="D100" i="3"/>
  <c r="D101" i="3"/>
  <c r="D102" i="3"/>
  <c r="D103" i="3"/>
  <c r="D92" i="3"/>
  <c r="D93" i="3"/>
  <c r="D94" i="3"/>
  <c r="D95" i="3"/>
  <c r="D89" i="3"/>
  <c r="D90" i="3"/>
  <c r="D91" i="3"/>
  <c r="D88" i="3"/>
  <c r="D81" i="3"/>
  <c r="D82" i="3"/>
  <c r="D83" i="3"/>
  <c r="D84" i="3"/>
  <c r="D85" i="3"/>
  <c r="D86" i="3"/>
  <c r="D87" i="3"/>
  <c r="D80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A87" i="3"/>
  <c r="A86" i="3"/>
  <c r="A85" i="3"/>
  <c r="A84" i="3"/>
  <c r="A83" i="3"/>
  <c r="A82" i="3"/>
  <c r="A81" i="3"/>
  <c r="A80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A79" i="3"/>
  <c r="A78" i="3"/>
  <c r="A77" i="3"/>
  <c r="A76" i="3"/>
  <c r="A75" i="3"/>
  <c r="A74" i="3"/>
  <c r="A73" i="3"/>
  <c r="A72" i="3"/>
  <c r="A71" i="3"/>
  <c r="D72" i="3"/>
  <c r="D73" i="3"/>
  <c r="D74" i="3"/>
  <c r="D75" i="3"/>
  <c r="D76" i="3"/>
  <c r="D77" i="3"/>
  <c r="D78" i="3"/>
  <c r="D79" i="3"/>
  <c r="B68" i="3"/>
  <c r="C68" i="3"/>
  <c r="B69" i="3"/>
  <c r="C69" i="3"/>
  <c r="B70" i="3"/>
  <c r="C70" i="3"/>
  <c r="B71" i="3"/>
  <c r="C71" i="3"/>
  <c r="A70" i="3"/>
  <c r="A69" i="3"/>
  <c r="A68" i="3"/>
  <c r="A67" i="3"/>
  <c r="A66" i="3"/>
  <c r="A65" i="3"/>
  <c r="A64" i="3"/>
  <c r="A63" i="3"/>
  <c r="D65" i="3"/>
  <c r="D66" i="3"/>
  <c r="D67" i="3"/>
  <c r="D68" i="3"/>
  <c r="D69" i="3"/>
  <c r="D70" i="3"/>
  <c r="D71" i="3"/>
  <c r="D64" i="3"/>
  <c r="A62" i="3"/>
  <c r="A61" i="3"/>
  <c r="A60" i="3"/>
  <c r="A59" i="3"/>
  <c r="B56" i="3"/>
  <c r="C56" i="3"/>
  <c r="B57" i="3"/>
  <c r="C57" i="3"/>
  <c r="B58" i="3"/>
  <c r="C58" i="3"/>
  <c r="A58" i="3"/>
  <c r="A57" i="3"/>
  <c r="A56" i="3"/>
  <c r="D57" i="3"/>
  <c r="D58" i="3"/>
  <c r="D59" i="3"/>
  <c r="D60" i="3"/>
  <c r="D61" i="3"/>
  <c r="D62" i="3"/>
  <c r="D63" i="3"/>
  <c r="D56" i="3"/>
  <c r="A46" i="3"/>
  <c r="A53" i="3"/>
  <c r="A52" i="3"/>
  <c r="A51" i="3"/>
  <c r="A49" i="3"/>
  <c r="A48" i="3"/>
  <c r="A47" i="3"/>
  <c r="A50" i="3"/>
  <c r="D53" i="3"/>
  <c r="D47" i="3"/>
  <c r="D48" i="3"/>
  <c r="D49" i="3"/>
  <c r="D50" i="3"/>
  <c r="D51" i="3"/>
  <c r="D52" i="3"/>
  <c r="D46" i="3"/>
  <c r="A45" i="3"/>
  <c r="A44" i="3"/>
  <c r="A43" i="3"/>
  <c r="A42" i="3"/>
  <c r="A41" i="3"/>
  <c r="A40" i="3"/>
  <c r="A39" i="3"/>
  <c r="D39" i="3"/>
  <c r="D40" i="3"/>
  <c r="D41" i="3"/>
  <c r="D42" i="3"/>
  <c r="D43" i="3"/>
  <c r="D44" i="3"/>
  <c r="D45" i="3"/>
  <c r="A38" i="3"/>
  <c r="D38" i="3"/>
  <c r="D30" i="3"/>
  <c r="D31" i="3"/>
  <c r="D32" i="3"/>
  <c r="D33" i="3"/>
  <c r="D34" i="3"/>
  <c r="D35" i="3"/>
  <c r="D36" i="3"/>
  <c r="D37" i="3"/>
  <c r="D29" i="3"/>
  <c r="A37" i="3"/>
  <c r="A36" i="3"/>
  <c r="A35" i="3"/>
  <c r="A34" i="3"/>
  <c r="A33" i="3"/>
  <c r="A32" i="3"/>
  <c r="A31" i="3"/>
  <c r="A30" i="3"/>
  <c r="A29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F21" i="3"/>
  <c r="E21" i="3"/>
  <c r="D22" i="3"/>
  <c r="D23" i="3"/>
  <c r="D24" i="3"/>
  <c r="D25" i="3"/>
  <c r="D26" i="3"/>
  <c r="D27" i="3"/>
  <c r="D28" i="3"/>
  <c r="D21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A28" i="3"/>
  <c r="A27" i="3"/>
  <c r="A26" i="3"/>
  <c r="A25" i="3"/>
  <c r="A24" i="3"/>
  <c r="A23" i="3"/>
  <c r="A22" i="3"/>
  <c r="A21" i="3"/>
  <c r="D13" i="3"/>
  <c r="D14" i="3"/>
  <c r="D15" i="3"/>
  <c r="D16" i="3"/>
  <c r="D17" i="3"/>
  <c r="D18" i="3"/>
  <c r="D19" i="3"/>
  <c r="D20" i="3"/>
  <c r="D12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A20" i="3"/>
  <c r="A19" i="3"/>
  <c r="A18" i="3"/>
  <c r="A17" i="3"/>
  <c r="A16" i="3"/>
  <c r="A15" i="3"/>
  <c r="A14" i="3"/>
  <c r="A13" i="3"/>
  <c r="A12" i="3"/>
  <c r="B4" i="3"/>
  <c r="C4" i="3"/>
  <c r="B5" i="3"/>
  <c r="C5" i="3"/>
  <c r="B6" i="3"/>
  <c r="C6" i="3"/>
  <c r="A6" i="3"/>
  <c r="A5" i="3"/>
  <c r="A4" i="3"/>
  <c r="D5" i="3"/>
  <c r="D6" i="3"/>
  <c r="D4" i="3"/>
  <c r="D8" i="3"/>
  <c r="D9" i="3"/>
  <c r="D10" i="3"/>
  <c r="D11" i="3"/>
  <c r="D7" i="3"/>
  <c r="B7" i="3"/>
  <c r="C7" i="3"/>
  <c r="B8" i="3"/>
  <c r="C8" i="3"/>
  <c r="B9" i="3"/>
  <c r="C9" i="3"/>
  <c r="B10" i="3"/>
  <c r="C10" i="3"/>
  <c r="B11" i="3"/>
  <c r="C11" i="3"/>
  <c r="A11" i="3"/>
  <c r="A10" i="3"/>
  <c r="A9" i="3"/>
  <c r="A8" i="3"/>
  <c r="A7" i="3"/>
  <c r="AY40" i="7"/>
  <c r="AY39" i="7"/>
  <c r="AY36" i="7"/>
  <c r="AY35" i="7"/>
  <c r="AY32" i="7"/>
  <c r="AY31" i="7"/>
  <c r="AY28" i="7"/>
  <c r="AY27" i="7"/>
  <c r="AY24" i="7"/>
  <c r="AY23" i="7"/>
  <c r="AY20" i="7"/>
  <c r="AY19" i="7"/>
  <c r="AY16" i="7"/>
  <c r="AY15" i="7"/>
  <c r="AY12" i="7"/>
  <c r="AY11" i="7"/>
  <c r="AY8" i="7"/>
  <c r="AY7" i="7"/>
  <c r="AY4" i="7"/>
  <c r="AY3" i="7"/>
  <c r="C23" i="10"/>
  <c r="C22" i="10"/>
  <c r="C8" i="10"/>
  <c r="C20" i="10"/>
  <c r="C98" i="3" s="1"/>
  <c r="B20" i="10"/>
  <c r="B98" i="3" s="1"/>
  <c r="A237" i="3"/>
  <c r="A238" i="3"/>
  <c r="A239" i="3"/>
  <c r="A240" i="3"/>
  <c r="A241" i="3"/>
  <c r="A242" i="3"/>
  <c r="A243" i="3"/>
  <c r="A236" i="3"/>
  <c r="A229" i="3"/>
  <c r="A230" i="3"/>
  <c r="A231" i="3"/>
  <c r="A232" i="3"/>
  <c r="A233" i="3"/>
  <c r="A234" i="3"/>
  <c r="A235" i="3"/>
  <c r="A228" i="3"/>
  <c r="F221" i="3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E221" i="3"/>
  <c r="E222" i="3" s="1"/>
  <c r="E223" i="3" s="1"/>
  <c r="E224" i="3" s="1"/>
  <c r="A212" i="3"/>
  <c r="A213" i="3"/>
  <c r="A214" i="3"/>
  <c r="A215" i="3"/>
  <c r="A216" i="3"/>
  <c r="A217" i="3"/>
  <c r="A218" i="3"/>
  <c r="A211" i="3"/>
  <c r="C11" i="10"/>
  <c r="C90" i="3" s="1"/>
  <c r="B11" i="10"/>
  <c r="B90" i="3" s="1"/>
  <c r="F204" i="3"/>
  <c r="F205" i="3" s="1"/>
  <c r="F206" i="3" s="1"/>
  <c r="F207" i="3" s="1"/>
  <c r="F208" i="3" s="1"/>
  <c r="F209" i="3" s="1"/>
  <c r="F210" i="3" s="1"/>
  <c r="F211" i="3" s="1"/>
  <c r="E204" i="3"/>
  <c r="E205" i="3" s="1"/>
  <c r="C10" i="10"/>
  <c r="C124" i="3" s="1"/>
  <c r="B10" i="10"/>
  <c r="B130" i="3" s="1"/>
  <c r="F190" i="3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E190" i="3"/>
  <c r="E191" i="3" s="1"/>
  <c r="E192" i="3" s="1"/>
  <c r="E193" i="3" s="1"/>
  <c r="E194" i="3" s="1"/>
  <c r="F168" i="3"/>
  <c r="E168" i="3"/>
  <c r="G20" i="13" l="1"/>
  <c r="F20" i="13"/>
  <c r="G14" i="13"/>
  <c r="F14" i="13"/>
  <c r="G17" i="13"/>
  <c r="F17" i="13"/>
  <c r="F16" i="13"/>
  <c r="G16" i="13"/>
  <c r="F15" i="13"/>
  <c r="G15" i="13"/>
  <c r="A21" i="13"/>
  <c r="C22" i="13"/>
  <c r="C14" i="13"/>
  <c r="A13" i="13"/>
  <c r="V3" i="8"/>
  <c r="U3" i="8"/>
  <c r="B124" i="3"/>
  <c r="C133" i="3"/>
  <c r="C129" i="3"/>
  <c r="C143" i="3"/>
  <c r="C139" i="3"/>
  <c r="C127" i="3"/>
  <c r="C123" i="3"/>
  <c r="B133" i="3"/>
  <c r="B129" i="3"/>
  <c r="B127" i="3"/>
  <c r="B123" i="3"/>
  <c r="C132" i="3"/>
  <c r="C128" i="3"/>
  <c r="C142" i="3"/>
  <c r="C138" i="3"/>
  <c r="C126" i="3"/>
  <c r="B132" i="3"/>
  <c r="B128" i="3"/>
  <c r="B142" i="3"/>
  <c r="B138" i="3"/>
  <c r="B126" i="3"/>
  <c r="C135" i="3"/>
  <c r="C131" i="3"/>
  <c r="C141" i="3"/>
  <c r="C137" i="3"/>
  <c r="C125" i="3"/>
  <c r="B135" i="3"/>
  <c r="B131" i="3"/>
  <c r="B141" i="3"/>
  <c r="B137" i="3"/>
  <c r="B125" i="3"/>
  <c r="C134" i="3"/>
  <c r="C130" i="3"/>
  <c r="C140" i="3"/>
  <c r="C136" i="3"/>
  <c r="B134" i="3"/>
  <c r="B140" i="3"/>
  <c r="B136" i="3"/>
  <c r="C109" i="3"/>
  <c r="C105" i="3"/>
  <c r="C101" i="3"/>
  <c r="C97" i="3"/>
  <c r="C93" i="3"/>
  <c r="C89" i="3"/>
  <c r="B109" i="3"/>
  <c r="B105" i="3"/>
  <c r="B101" i="3"/>
  <c r="B97" i="3"/>
  <c r="B93" i="3"/>
  <c r="B89" i="3"/>
  <c r="C108" i="3"/>
  <c r="C104" i="3"/>
  <c r="C100" i="3"/>
  <c r="C96" i="3"/>
  <c r="C92" i="3"/>
  <c r="C88" i="3"/>
  <c r="B108" i="3"/>
  <c r="B104" i="3"/>
  <c r="B100" i="3"/>
  <c r="B96" i="3"/>
  <c r="B92" i="3"/>
  <c r="B88" i="3"/>
  <c r="C111" i="3"/>
  <c r="C107" i="3"/>
  <c r="C103" i="3"/>
  <c r="C99" i="3"/>
  <c r="C95" i="3"/>
  <c r="C91" i="3"/>
  <c r="B111" i="3"/>
  <c r="B107" i="3"/>
  <c r="B103" i="3"/>
  <c r="B99" i="3"/>
  <c r="B95" i="3"/>
  <c r="B91" i="3"/>
  <c r="C110" i="3"/>
  <c r="C106" i="3"/>
  <c r="C102" i="3"/>
  <c r="C94" i="3"/>
  <c r="B110" i="3"/>
  <c r="B106" i="3"/>
  <c r="B102" i="3"/>
  <c r="B94" i="3"/>
  <c r="G25" i="3"/>
  <c r="I25" i="3" s="1"/>
  <c r="G24" i="3"/>
  <c r="I24" i="3" s="1"/>
  <c r="G23" i="3"/>
  <c r="I23" i="3" s="1"/>
  <c r="G22" i="3"/>
  <c r="I22" i="3" s="1"/>
  <c r="G21" i="3"/>
  <c r="I21" i="3" s="1"/>
  <c r="G28" i="3"/>
  <c r="I28" i="3" s="1"/>
  <c r="G27" i="3"/>
  <c r="I27" i="3" s="1"/>
  <c r="G26" i="3"/>
  <c r="I26" i="3" s="1"/>
  <c r="E225" i="3"/>
  <c r="F212" i="3"/>
  <c r="E206" i="3"/>
  <c r="E195" i="3"/>
  <c r="A182" i="3"/>
  <c r="A183" i="3"/>
  <c r="A184" i="3"/>
  <c r="A185" i="3"/>
  <c r="A186" i="3"/>
  <c r="A187" i="3"/>
  <c r="A181" i="3"/>
  <c r="A179" i="3"/>
  <c r="A180" i="3"/>
  <c r="A178" i="3"/>
  <c r="A176" i="3"/>
  <c r="A177" i="3"/>
  <c r="A175" i="3"/>
  <c r="C19" i="10"/>
  <c r="B19" i="10"/>
  <c r="F176" i="3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E176" i="3"/>
  <c r="E177" i="3" s="1"/>
  <c r="C23" i="13" l="1"/>
  <c r="A22" i="13"/>
  <c r="C15" i="13"/>
  <c r="A14" i="13"/>
  <c r="C53" i="3"/>
  <c r="C49" i="3"/>
  <c r="C41" i="3"/>
  <c r="C45" i="3"/>
  <c r="C47" i="3"/>
  <c r="C42" i="3"/>
  <c r="C52" i="3"/>
  <c r="C51" i="3"/>
  <c r="C48" i="3"/>
  <c r="C39" i="3"/>
  <c r="C43" i="3"/>
  <c r="C40" i="3"/>
  <c r="C44" i="3"/>
  <c r="B41" i="3"/>
  <c r="B45" i="3"/>
  <c r="B47" i="3"/>
  <c r="B42" i="3"/>
  <c r="B40" i="3"/>
  <c r="B44" i="3"/>
  <c r="B51" i="3"/>
  <c r="B48" i="3"/>
  <c r="B39" i="3"/>
  <c r="B43" i="3"/>
  <c r="B52" i="3"/>
  <c r="B49" i="3"/>
  <c r="B53" i="3"/>
  <c r="E226" i="3"/>
  <c r="F213" i="3"/>
  <c r="E207" i="3"/>
  <c r="E196" i="3"/>
  <c r="E178" i="3"/>
  <c r="E179" i="3" s="1"/>
  <c r="E180" i="3"/>
  <c r="A173" i="3"/>
  <c r="F173" i="3"/>
  <c r="E173" i="3"/>
  <c r="A172" i="3"/>
  <c r="C18" i="10"/>
  <c r="B18" i="10"/>
  <c r="C14" i="10"/>
  <c r="C15" i="10"/>
  <c r="B15" i="10"/>
  <c r="B13" i="10"/>
  <c r="A164" i="3"/>
  <c r="A165" i="3"/>
  <c r="A166" i="3"/>
  <c r="A163" i="3"/>
  <c r="F169" i="3"/>
  <c r="F170" i="3" s="1"/>
  <c r="E169" i="3"/>
  <c r="A169" i="3"/>
  <c r="A170" i="3"/>
  <c r="A168" i="3"/>
  <c r="A159" i="3"/>
  <c r="A160" i="3"/>
  <c r="A161" i="3"/>
  <c r="A162" i="3"/>
  <c r="A158" i="3"/>
  <c r="A156" i="3"/>
  <c r="A157" i="3"/>
  <c r="A150" i="3"/>
  <c r="A151" i="3"/>
  <c r="A152" i="3"/>
  <c r="A153" i="3"/>
  <c r="A154" i="3"/>
  <c r="A155" i="3"/>
  <c r="F150" i="3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E150" i="3"/>
  <c r="E151" i="3" s="1"/>
  <c r="E152" i="3" s="1"/>
  <c r="E153" i="3" s="1"/>
  <c r="C17" i="10"/>
  <c r="B17" i="10"/>
  <c r="A149" i="3"/>
  <c r="A148" i="3"/>
  <c r="D148" i="3"/>
  <c r="C24" i="13" l="1"/>
  <c r="A23" i="13"/>
  <c r="C16" i="13"/>
  <c r="A15" i="13"/>
  <c r="B65" i="3"/>
  <c r="B61" i="3"/>
  <c r="B60" i="3"/>
  <c r="B67" i="3"/>
  <c r="B62" i="3"/>
  <c r="B66" i="3"/>
  <c r="B64" i="3"/>
  <c r="B59" i="3"/>
  <c r="B63" i="3"/>
  <c r="C59" i="3"/>
  <c r="C63" i="3"/>
  <c r="C66" i="3"/>
  <c r="C62" i="3"/>
  <c r="C65" i="3"/>
  <c r="C60" i="3"/>
  <c r="C61" i="3"/>
  <c r="C67" i="3"/>
  <c r="C64" i="3"/>
  <c r="C38" i="3"/>
  <c r="C46" i="3"/>
  <c r="C50" i="3"/>
  <c r="B46" i="3"/>
  <c r="B50" i="3"/>
  <c r="B38" i="3"/>
  <c r="B32" i="3"/>
  <c r="B33" i="3"/>
  <c r="B31" i="3"/>
  <c r="B35" i="3"/>
  <c r="B29" i="3"/>
  <c r="B37" i="3"/>
  <c r="B36" i="3"/>
  <c r="B30" i="3"/>
  <c r="B34" i="3"/>
  <c r="C30" i="3"/>
  <c r="C34" i="3"/>
  <c r="C33" i="3"/>
  <c r="C36" i="3"/>
  <c r="C31" i="3"/>
  <c r="C35" i="3"/>
  <c r="C32" i="3"/>
  <c r="C29" i="3"/>
  <c r="C37" i="3"/>
  <c r="E227" i="3"/>
  <c r="E181" i="3"/>
  <c r="F214" i="3"/>
  <c r="E208" i="3"/>
  <c r="E197" i="3"/>
  <c r="E170" i="3"/>
  <c r="F161" i="3"/>
  <c r="F162" i="3" s="1"/>
  <c r="F163" i="3" s="1"/>
  <c r="F164" i="3" s="1"/>
  <c r="F165" i="3" s="1"/>
  <c r="F166" i="3" s="1"/>
  <c r="E154" i="3"/>
  <c r="X5" i="11"/>
  <c r="Y5" i="11"/>
  <c r="X6" i="11"/>
  <c r="Y6" i="11"/>
  <c r="X7" i="11"/>
  <c r="Y7" i="11"/>
  <c r="Y4" i="11"/>
  <c r="X4" i="11"/>
  <c r="C25" i="13" l="1"/>
  <c r="A24" i="13"/>
  <c r="C17" i="13"/>
  <c r="A16" i="13"/>
  <c r="C150" i="3"/>
  <c r="D61" i="14"/>
  <c r="F30" i="3"/>
  <c r="C153" i="3"/>
  <c r="G153" i="3" s="1"/>
  <c r="I153" i="3" s="1"/>
  <c r="D64" i="14"/>
  <c r="F33" i="3"/>
  <c r="B153" i="3"/>
  <c r="C64" i="14"/>
  <c r="E33" i="3"/>
  <c r="C152" i="3"/>
  <c r="G152" i="3" s="1"/>
  <c r="I152" i="3" s="1"/>
  <c r="F32" i="3"/>
  <c r="D63" i="14"/>
  <c r="B152" i="3"/>
  <c r="C63" i="14"/>
  <c r="E32" i="3"/>
  <c r="C151" i="3"/>
  <c r="G151" i="3" s="1"/>
  <c r="I151" i="3" s="1"/>
  <c r="F31" i="3"/>
  <c r="D62" i="14"/>
  <c r="B151" i="3"/>
  <c r="C62" i="14"/>
  <c r="E31" i="3"/>
  <c r="B150" i="3"/>
  <c r="G150" i="3" s="1"/>
  <c r="I150" i="3" s="1"/>
  <c r="C61" i="14"/>
  <c r="E30" i="3"/>
  <c r="G30" i="3" s="1"/>
  <c r="I30" i="3" s="1"/>
  <c r="E228" i="3"/>
  <c r="E182" i="3"/>
  <c r="F215" i="3"/>
  <c r="E209" i="3"/>
  <c r="E198" i="3"/>
  <c r="E155" i="3"/>
  <c r="X9" i="11"/>
  <c r="Y9" i="11"/>
  <c r="X10" i="11"/>
  <c r="Y10" i="11"/>
  <c r="Y11" i="11"/>
  <c r="X11" i="11"/>
  <c r="Y8" i="11"/>
  <c r="X8" i="11"/>
  <c r="V3" i="11"/>
  <c r="U4" i="11"/>
  <c r="U5" i="11"/>
  <c r="U6" i="11"/>
  <c r="U7" i="11"/>
  <c r="U8" i="11"/>
  <c r="U9" i="11"/>
  <c r="U10" i="11"/>
  <c r="U11" i="11"/>
  <c r="U3" i="11"/>
  <c r="Y3" i="11"/>
  <c r="S11" i="11"/>
  <c r="E20" i="3" s="1"/>
  <c r="Q3" i="11"/>
  <c r="T3" i="11" s="1"/>
  <c r="F12" i="3" s="1"/>
  <c r="P11" i="11"/>
  <c r="P4" i="11"/>
  <c r="P5" i="11"/>
  <c r="P6" i="11"/>
  <c r="P7" i="11"/>
  <c r="P8" i="11"/>
  <c r="P9" i="11"/>
  <c r="P10" i="11"/>
  <c r="P3" i="11"/>
  <c r="T10" i="11"/>
  <c r="F19" i="3" s="1"/>
  <c r="T9" i="11"/>
  <c r="F18" i="3" s="1"/>
  <c r="T8" i="11"/>
  <c r="F17" i="3" s="1"/>
  <c r="T7" i="11"/>
  <c r="F16" i="3" s="1"/>
  <c r="T6" i="11"/>
  <c r="F15" i="3" s="1"/>
  <c r="T5" i="11"/>
  <c r="F14" i="3" s="1"/>
  <c r="T4" i="11"/>
  <c r="F13" i="3" s="1"/>
  <c r="L4" i="11"/>
  <c r="L3" i="11"/>
  <c r="L3" i="6"/>
  <c r="L4" i="6"/>
  <c r="L5" i="6"/>
  <c r="L6" i="6"/>
  <c r="L7" i="6"/>
  <c r="L8" i="6"/>
  <c r="L9" i="6"/>
  <c r="L10" i="6"/>
  <c r="L2" i="6"/>
  <c r="C26" i="13" l="1"/>
  <c r="A26" i="13" s="1"/>
  <c r="A25" i="13"/>
  <c r="C18" i="13"/>
  <c r="A18" i="13" s="1"/>
  <c r="A17" i="13"/>
  <c r="G32" i="3"/>
  <c r="I32" i="3" s="1"/>
  <c r="G31" i="3"/>
  <c r="I31" i="3" s="1"/>
  <c r="G33" i="3"/>
  <c r="I33" i="3" s="1"/>
  <c r="B156" i="3"/>
  <c r="E36" i="3"/>
  <c r="C67" i="14"/>
  <c r="C156" i="3"/>
  <c r="F36" i="3"/>
  <c r="D67" i="14"/>
  <c r="B154" i="3"/>
  <c r="C65" i="14"/>
  <c r="E34" i="3"/>
  <c r="D60" i="14"/>
  <c r="F29" i="3"/>
  <c r="C149" i="3"/>
  <c r="C148" i="3"/>
  <c r="C154" i="3"/>
  <c r="D65" i="14"/>
  <c r="F34" i="3"/>
  <c r="C155" i="3"/>
  <c r="D66" i="14"/>
  <c r="F35" i="3"/>
  <c r="B155" i="3"/>
  <c r="C66" i="14"/>
  <c r="E35" i="3"/>
  <c r="G35" i="3" s="1"/>
  <c r="I35" i="3" s="1"/>
  <c r="E37" i="3"/>
  <c r="C68" i="14"/>
  <c r="F37" i="3"/>
  <c r="D68" i="14"/>
  <c r="G154" i="3"/>
  <c r="I154" i="3" s="1"/>
  <c r="E229" i="3"/>
  <c r="E183" i="3"/>
  <c r="F216" i="3"/>
  <c r="E210" i="3"/>
  <c r="E199" i="3"/>
  <c r="C157" i="3"/>
  <c r="F148" i="3"/>
  <c r="B157" i="3"/>
  <c r="E148" i="3"/>
  <c r="E156" i="3"/>
  <c r="X3" i="11"/>
  <c r="T11" i="11"/>
  <c r="F20" i="3" s="1"/>
  <c r="G20" i="3" s="1"/>
  <c r="I20" i="3" s="1"/>
  <c r="S5" i="11"/>
  <c r="E14" i="3" s="1"/>
  <c r="G14" i="3" s="1"/>
  <c r="I14" i="3" s="1"/>
  <c r="S3" i="11"/>
  <c r="E12" i="3" s="1"/>
  <c r="G12" i="3" s="1"/>
  <c r="I12" i="3" s="1"/>
  <c r="S7" i="11"/>
  <c r="E16" i="3" s="1"/>
  <c r="G16" i="3" s="1"/>
  <c r="I16" i="3" s="1"/>
  <c r="S4" i="11"/>
  <c r="E13" i="3" s="1"/>
  <c r="G13" i="3" s="1"/>
  <c r="I13" i="3" s="1"/>
  <c r="S6" i="11"/>
  <c r="E15" i="3" s="1"/>
  <c r="G15" i="3" s="1"/>
  <c r="I15" i="3" s="1"/>
  <c r="S8" i="11"/>
  <c r="E17" i="3" s="1"/>
  <c r="G17" i="3" s="1"/>
  <c r="I17" i="3" s="1"/>
  <c r="S10" i="11"/>
  <c r="E19" i="3" s="1"/>
  <c r="G19" i="3" s="1"/>
  <c r="I19" i="3" s="1"/>
  <c r="S9" i="11"/>
  <c r="E18" i="3" s="1"/>
  <c r="G18" i="3" s="1"/>
  <c r="I18" i="3" s="1"/>
  <c r="K19" i="11"/>
  <c r="N19" i="11"/>
  <c r="N18" i="11"/>
  <c r="N17" i="11"/>
  <c r="N16" i="11"/>
  <c r="N15" i="11"/>
  <c r="L7" i="11" s="1"/>
  <c r="N14" i="11"/>
  <c r="N13" i="11"/>
  <c r="O12" i="11"/>
  <c r="K12" i="11"/>
  <c r="K13" i="11"/>
  <c r="K14" i="11"/>
  <c r="K15" i="11"/>
  <c r="K16" i="11"/>
  <c r="K17" i="11"/>
  <c r="K18" i="11"/>
  <c r="K11" i="11"/>
  <c r="K4" i="11"/>
  <c r="K5" i="11"/>
  <c r="K6" i="11"/>
  <c r="K7" i="11"/>
  <c r="K8" i="11"/>
  <c r="K9" i="11"/>
  <c r="K10" i="11"/>
  <c r="K3" i="11"/>
  <c r="C4" i="13"/>
  <c r="C5" i="13" s="1"/>
  <c r="B4" i="13"/>
  <c r="B5" i="13" s="1"/>
  <c r="A3" i="13"/>
  <c r="B155" i="14" s="1"/>
  <c r="C76" i="13"/>
  <c r="C77" i="13" s="1"/>
  <c r="A75" i="13"/>
  <c r="B236" i="14" s="1"/>
  <c r="C68" i="13"/>
  <c r="C69" i="13" s="1"/>
  <c r="A67" i="13"/>
  <c r="B227" i="14" s="1"/>
  <c r="C60" i="13"/>
  <c r="C61" i="13" s="1"/>
  <c r="A59" i="13"/>
  <c r="C52" i="13"/>
  <c r="C53" i="13" s="1"/>
  <c r="A51" i="13"/>
  <c r="C44" i="13"/>
  <c r="C45" i="13" s="1"/>
  <c r="A43" i="13"/>
  <c r="C28" i="13"/>
  <c r="A28" i="13" s="1"/>
  <c r="B183" i="14" s="1"/>
  <c r="C36" i="13"/>
  <c r="A36" i="13" s="1"/>
  <c r="B192" i="14" s="1"/>
  <c r="A35" i="13"/>
  <c r="B191" i="14" s="1"/>
  <c r="A27" i="13"/>
  <c r="B182" i="14" s="1"/>
  <c r="B28" i="13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K1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1" i="12"/>
  <c r="A20" i="12"/>
  <c r="A21" i="12"/>
  <c r="A22" i="12"/>
  <c r="A23" i="12"/>
  <c r="A24" i="12"/>
  <c r="A25" i="12"/>
  <c r="A26" i="12"/>
  <c r="A19" i="12"/>
  <c r="A12" i="12"/>
  <c r="A13" i="12"/>
  <c r="A14" i="12"/>
  <c r="A15" i="12"/>
  <c r="A16" i="12"/>
  <c r="A17" i="12"/>
  <c r="A18" i="12"/>
  <c r="A11" i="12"/>
  <c r="A4" i="12"/>
  <c r="A5" i="12"/>
  <c r="A6" i="12"/>
  <c r="A7" i="12"/>
  <c r="A8" i="12"/>
  <c r="A9" i="12"/>
  <c r="A10" i="12"/>
  <c r="A3" i="12"/>
  <c r="A1" i="12"/>
  <c r="F10" i="11"/>
  <c r="F9" i="11"/>
  <c r="F8" i="11"/>
  <c r="F7" i="11"/>
  <c r="F6" i="11"/>
  <c r="F5" i="11"/>
  <c r="F4" i="11"/>
  <c r="F3" i="11"/>
  <c r="A4" i="11"/>
  <c r="A5" i="11"/>
  <c r="A6" i="11"/>
  <c r="A7" i="11"/>
  <c r="A8" i="11"/>
  <c r="A9" i="11"/>
  <c r="A10" i="11"/>
  <c r="A3" i="11"/>
  <c r="B8" i="10"/>
  <c r="B172" i="3" s="1"/>
  <c r="C9" i="10"/>
  <c r="C5" i="10"/>
  <c r="B9" i="10"/>
  <c r="C172" i="3"/>
  <c r="C7" i="10"/>
  <c r="C6" i="10"/>
  <c r="B6" i="10"/>
  <c r="B4" i="10"/>
  <c r="D10" i="6"/>
  <c r="F10" i="6"/>
  <c r="AQ4" i="7"/>
  <c r="AQ5" i="7" s="1"/>
  <c r="AP4" i="7"/>
  <c r="AO1" i="7"/>
  <c r="AL4" i="7"/>
  <c r="AL5" i="7" s="1"/>
  <c r="AK4" i="7"/>
  <c r="AJ1" i="7"/>
  <c r="AG4" i="7"/>
  <c r="AF4" i="7"/>
  <c r="AE1" i="7"/>
  <c r="AB4" i="7"/>
  <c r="AB5" i="7" s="1"/>
  <c r="AA4" i="7"/>
  <c r="Z1" i="7"/>
  <c r="W4" i="7"/>
  <c r="V4" i="7"/>
  <c r="U1" i="7"/>
  <c r="R4" i="7"/>
  <c r="Q4" i="7"/>
  <c r="P1" i="7"/>
  <c r="M4" i="7"/>
  <c r="M5" i="7" s="1"/>
  <c r="L4" i="7"/>
  <c r="K1" i="7"/>
  <c r="H4" i="7"/>
  <c r="H5" i="7" s="1"/>
  <c r="G4" i="7"/>
  <c r="F1" i="7"/>
  <c r="C4" i="7"/>
  <c r="C5" i="7" s="1"/>
  <c r="C6" i="7" s="1"/>
  <c r="A1" i="7"/>
  <c r="B4" i="7"/>
  <c r="F9" i="6"/>
  <c r="F8" i="6"/>
  <c r="F7" i="6"/>
  <c r="F6" i="6"/>
  <c r="F5" i="6"/>
  <c r="F4" i="6"/>
  <c r="F3" i="6"/>
  <c r="F2" i="6"/>
  <c r="D3" i="6"/>
  <c r="D4" i="6"/>
  <c r="D5" i="6"/>
  <c r="D6" i="6"/>
  <c r="D7" i="6"/>
  <c r="D8" i="6"/>
  <c r="D9" i="6"/>
  <c r="D2" i="6"/>
  <c r="C2" i="6"/>
  <c r="G2" i="6" s="1"/>
  <c r="B3" i="6"/>
  <c r="B35" i="13" l="1"/>
  <c r="B43" i="13" s="1"/>
  <c r="B51" i="13" s="1"/>
  <c r="B59" i="13" s="1"/>
  <c r="B67" i="13" s="1"/>
  <c r="B75" i="13" s="1"/>
  <c r="B200" i="14"/>
  <c r="D119" i="3"/>
  <c r="D128" i="3"/>
  <c r="B209" i="14"/>
  <c r="A194" i="3"/>
  <c r="A203" i="3"/>
  <c r="D136" i="3"/>
  <c r="B218" i="14"/>
  <c r="A220" i="3"/>
  <c r="G37" i="3"/>
  <c r="I37" i="3" s="1"/>
  <c r="G155" i="3"/>
  <c r="I155" i="3" s="1"/>
  <c r="G34" i="3"/>
  <c r="I34" i="3" s="1"/>
  <c r="G36" i="3"/>
  <c r="I36" i="3" s="1"/>
  <c r="C60" i="14"/>
  <c r="E29" i="3"/>
  <c r="G29" i="3" s="1"/>
  <c r="I29" i="3" s="1"/>
  <c r="B149" i="3"/>
  <c r="G149" i="3" s="1"/>
  <c r="I149" i="3" s="1"/>
  <c r="B148" i="3"/>
  <c r="G148" i="3" s="1"/>
  <c r="E230" i="3"/>
  <c r="E184" i="3"/>
  <c r="E211" i="3"/>
  <c r="F217" i="3"/>
  <c r="E200" i="3"/>
  <c r="G172" i="3"/>
  <c r="I172" i="3" s="1"/>
  <c r="E157" i="3"/>
  <c r="G156" i="3"/>
  <c r="I156" i="3" s="1"/>
  <c r="L10" i="11"/>
  <c r="O13" i="11"/>
  <c r="L9" i="11"/>
  <c r="L5" i="11"/>
  <c r="L8" i="11"/>
  <c r="L6" i="11"/>
  <c r="C29" i="13"/>
  <c r="C30" i="13" s="1"/>
  <c r="C31" i="13" s="1"/>
  <c r="B4" i="6"/>
  <c r="B44" i="13"/>
  <c r="B45" i="13" s="1"/>
  <c r="B36" i="13"/>
  <c r="B37" i="13" s="1"/>
  <c r="B38" i="13" s="1"/>
  <c r="B29" i="13"/>
  <c r="B30" i="13" s="1"/>
  <c r="B31" i="13" s="1"/>
  <c r="B32" i="13" s="1"/>
  <c r="B6" i="13"/>
  <c r="C6" i="13"/>
  <c r="A5" i="13"/>
  <c r="B157" i="14" s="1"/>
  <c r="C37" i="13"/>
  <c r="A4" i="13"/>
  <c r="B156" i="14" s="1"/>
  <c r="A77" i="13"/>
  <c r="B238" i="14" s="1"/>
  <c r="C78" i="13"/>
  <c r="A76" i="13"/>
  <c r="B237" i="14" s="1"/>
  <c r="C70" i="13"/>
  <c r="A69" i="13"/>
  <c r="B229" i="14" s="1"/>
  <c r="A68" i="13"/>
  <c r="B228" i="14" s="1"/>
  <c r="C62" i="13"/>
  <c r="A61" i="13"/>
  <c r="A60" i="13"/>
  <c r="C54" i="13"/>
  <c r="A53" i="13"/>
  <c r="A52" i="13"/>
  <c r="B46" i="13"/>
  <c r="C46" i="13"/>
  <c r="A45" i="13"/>
  <c r="A44" i="13"/>
  <c r="AQ6" i="7"/>
  <c r="AL6" i="7"/>
  <c r="AG5" i="7"/>
  <c r="AB6" i="7"/>
  <c r="W5" i="7"/>
  <c r="R5" i="7"/>
  <c r="M6" i="7"/>
  <c r="H6" i="7"/>
  <c r="C7" i="7"/>
  <c r="E2" i="6"/>
  <c r="C3" i="6"/>
  <c r="D121" i="3" l="1"/>
  <c r="B202" i="14"/>
  <c r="B201" i="14"/>
  <c r="D120" i="3"/>
  <c r="D129" i="3"/>
  <c r="B210" i="14"/>
  <c r="A195" i="3"/>
  <c r="D130" i="3"/>
  <c r="B211" i="14"/>
  <c r="A196" i="3"/>
  <c r="A205" i="3"/>
  <c r="D138" i="3"/>
  <c r="B220" i="14"/>
  <c r="A222" i="3"/>
  <c r="D137" i="3"/>
  <c r="A204" i="3"/>
  <c r="B219" i="14"/>
  <c r="A221" i="3"/>
  <c r="E231" i="3"/>
  <c r="E185" i="3"/>
  <c r="E212" i="3"/>
  <c r="F218" i="3"/>
  <c r="E201" i="3"/>
  <c r="G157" i="3"/>
  <c r="I157" i="3" s="1"/>
  <c r="E158" i="3"/>
  <c r="O14" i="11"/>
  <c r="B5" i="6"/>
  <c r="A30" i="13"/>
  <c r="B185" i="14" s="1"/>
  <c r="C4" i="6"/>
  <c r="A29" i="13"/>
  <c r="B184" i="14" s="1"/>
  <c r="B5" i="7"/>
  <c r="K2" i="6"/>
  <c r="I2" i="6"/>
  <c r="B6" i="7"/>
  <c r="B52" i="13"/>
  <c r="B33" i="13"/>
  <c r="A6" i="13"/>
  <c r="B158" i="14" s="1"/>
  <c r="C7" i="13"/>
  <c r="B7" i="13"/>
  <c r="C38" i="13"/>
  <c r="A37" i="13"/>
  <c r="B193" i="14" s="1"/>
  <c r="C79" i="13"/>
  <c r="A78" i="13"/>
  <c r="B239" i="14" s="1"/>
  <c r="C71" i="13"/>
  <c r="A70" i="13"/>
  <c r="B230" i="14" s="1"/>
  <c r="A62" i="13"/>
  <c r="C63" i="13"/>
  <c r="C55" i="13"/>
  <c r="A54" i="13"/>
  <c r="A46" i="13"/>
  <c r="C47" i="13"/>
  <c r="B47" i="13"/>
  <c r="A31" i="13"/>
  <c r="B186" i="14" s="1"/>
  <c r="C32" i="13"/>
  <c r="B39" i="13"/>
  <c r="AQ7" i="7"/>
  <c r="AL7" i="7"/>
  <c r="AG6" i="7"/>
  <c r="AB7" i="7"/>
  <c r="W6" i="7"/>
  <c r="R6" i="7"/>
  <c r="M7" i="7"/>
  <c r="H7" i="7"/>
  <c r="B7" i="7"/>
  <c r="C8" i="7"/>
  <c r="H2" i="6"/>
  <c r="J2" i="6"/>
  <c r="A13" i="6" s="1"/>
  <c r="A14" i="6" s="1"/>
  <c r="D32" i="13" s="1"/>
  <c r="E3" i="6"/>
  <c r="K3" i="6" s="1"/>
  <c r="G3" i="6"/>
  <c r="D123" i="3" l="1"/>
  <c r="A189" i="3"/>
  <c r="B203" i="14"/>
  <c r="D122" i="3"/>
  <c r="D131" i="3"/>
  <c r="B212" i="14"/>
  <c r="A197" i="3"/>
  <c r="B221" i="14"/>
  <c r="A223" i="3"/>
  <c r="A206" i="3"/>
  <c r="D139" i="3"/>
  <c r="E232" i="3"/>
  <c r="E186" i="3"/>
  <c r="E213" i="3"/>
  <c r="E159" i="3"/>
  <c r="O15" i="11"/>
  <c r="O16" i="11" s="1"/>
  <c r="G4" i="6"/>
  <c r="E4" i="6"/>
  <c r="D38" i="13"/>
  <c r="B6" i="6"/>
  <c r="C5" i="6"/>
  <c r="E6" i="7"/>
  <c r="AV3" i="7"/>
  <c r="D3" i="7"/>
  <c r="D4" i="7"/>
  <c r="D6" i="7"/>
  <c r="D31" i="13"/>
  <c r="E5" i="7"/>
  <c r="D29" i="13"/>
  <c r="D36" i="13"/>
  <c r="G6" i="7"/>
  <c r="G5" i="7"/>
  <c r="D37" i="13"/>
  <c r="D5" i="7"/>
  <c r="E3" i="7"/>
  <c r="AW3" i="7"/>
  <c r="E4" i="7"/>
  <c r="D46" i="13"/>
  <c r="D6" i="13"/>
  <c r="G3" i="11"/>
  <c r="B5" i="11"/>
  <c r="D27" i="13"/>
  <c r="B11" i="12"/>
  <c r="L19" i="12"/>
  <c r="D3" i="13"/>
  <c r="G19" i="12"/>
  <c r="B19" i="12"/>
  <c r="G10" i="11"/>
  <c r="B6" i="11"/>
  <c r="G3" i="12"/>
  <c r="G8" i="11"/>
  <c r="B8" i="11"/>
  <c r="B9" i="11"/>
  <c r="B3" i="12"/>
  <c r="B10" i="11"/>
  <c r="G11" i="12"/>
  <c r="G9" i="11"/>
  <c r="B7" i="11"/>
  <c r="G7" i="11"/>
  <c r="G6" i="11"/>
  <c r="L11" i="12"/>
  <c r="G5" i="11"/>
  <c r="B3" i="11"/>
  <c r="L3" i="12"/>
  <c r="G4" i="11"/>
  <c r="B4" i="11"/>
  <c r="D4" i="13"/>
  <c r="D45" i="13"/>
  <c r="D35" i="13"/>
  <c r="D5" i="13"/>
  <c r="D43" i="13"/>
  <c r="D51" i="13"/>
  <c r="D28" i="13"/>
  <c r="D44" i="13"/>
  <c r="D7" i="7"/>
  <c r="D30" i="13"/>
  <c r="B60" i="13"/>
  <c r="D59" i="13"/>
  <c r="B53" i="13"/>
  <c r="D52" i="13"/>
  <c r="B34" i="13"/>
  <c r="D34" i="13" s="1"/>
  <c r="D33" i="13"/>
  <c r="B8" i="13"/>
  <c r="D7" i="13"/>
  <c r="C8" i="13"/>
  <c r="A7" i="13"/>
  <c r="B159" i="14" s="1"/>
  <c r="A38" i="13"/>
  <c r="B194" i="14" s="1"/>
  <c r="C39" i="13"/>
  <c r="C80" i="13"/>
  <c r="A79" i="13"/>
  <c r="B240" i="14" s="1"/>
  <c r="C72" i="13"/>
  <c r="A71" i="13"/>
  <c r="B231" i="14" s="1"/>
  <c r="C64" i="13"/>
  <c r="A63" i="13"/>
  <c r="C56" i="13"/>
  <c r="A55" i="13"/>
  <c r="C48" i="13"/>
  <c r="A47" i="13"/>
  <c r="B48" i="13"/>
  <c r="D47" i="13"/>
  <c r="A32" i="13"/>
  <c r="B187" i="14" s="1"/>
  <c r="C33" i="13"/>
  <c r="D39" i="13"/>
  <c r="B40" i="13"/>
  <c r="AQ8" i="7"/>
  <c r="AL8" i="7"/>
  <c r="AG7" i="7"/>
  <c r="AB8" i="7"/>
  <c r="W7" i="7"/>
  <c r="R7" i="7"/>
  <c r="M8" i="7"/>
  <c r="L7" i="7"/>
  <c r="H8" i="7"/>
  <c r="G7" i="7"/>
  <c r="B8" i="7"/>
  <c r="D8" i="7" s="1"/>
  <c r="C9" i="7"/>
  <c r="E7" i="7"/>
  <c r="H3" i="6"/>
  <c r="O4" i="11" s="1"/>
  <c r="I3" i="6"/>
  <c r="J3" i="6"/>
  <c r="A18" i="6"/>
  <c r="A19" i="6" s="1"/>
  <c r="D124" i="3" l="1"/>
  <c r="B204" i="14"/>
  <c r="A190" i="3"/>
  <c r="D132" i="3"/>
  <c r="B213" i="14"/>
  <c r="A198" i="3"/>
  <c r="A224" i="3"/>
  <c r="A207" i="3"/>
  <c r="D140" i="3"/>
  <c r="B222" i="14"/>
  <c r="F39" i="3"/>
  <c r="D43" i="14"/>
  <c r="C181" i="3"/>
  <c r="E233" i="3"/>
  <c r="E187" i="3"/>
  <c r="E214" i="3"/>
  <c r="E160" i="3"/>
  <c r="O17" i="11"/>
  <c r="G5" i="6"/>
  <c r="E5" i="6"/>
  <c r="O3" i="11"/>
  <c r="N3" i="11"/>
  <c r="B7" i="6"/>
  <c r="C6" i="6"/>
  <c r="N4" i="11"/>
  <c r="I4" i="6"/>
  <c r="K4" i="6"/>
  <c r="J4" i="6"/>
  <c r="L6" i="7"/>
  <c r="L5" i="7"/>
  <c r="H4" i="6"/>
  <c r="F35" i="13"/>
  <c r="C191" i="14" s="1"/>
  <c r="G35" i="13"/>
  <c r="D191" i="14" s="1"/>
  <c r="L12" i="12"/>
  <c r="N11" i="12"/>
  <c r="O11" i="12"/>
  <c r="G3" i="13"/>
  <c r="D155" i="14" s="1"/>
  <c r="F3" i="13"/>
  <c r="C155" i="14" s="1"/>
  <c r="I3" i="7"/>
  <c r="I4" i="7"/>
  <c r="F45" i="13"/>
  <c r="G45" i="13"/>
  <c r="L20" i="12"/>
  <c r="O19" i="12"/>
  <c r="N19" i="12"/>
  <c r="J3" i="7"/>
  <c r="J4" i="7"/>
  <c r="G4" i="13"/>
  <c r="D156" i="14" s="1"/>
  <c r="F4" i="13"/>
  <c r="C156" i="14" s="1"/>
  <c r="D4" i="11"/>
  <c r="E4" i="11"/>
  <c r="G4" i="12"/>
  <c r="I3" i="12"/>
  <c r="C105" i="14" s="1"/>
  <c r="J3" i="12"/>
  <c r="D105" i="14" s="1"/>
  <c r="F28" i="13"/>
  <c r="C183" i="14" s="1"/>
  <c r="G28" i="13"/>
  <c r="D183" i="14" s="1"/>
  <c r="J4" i="11"/>
  <c r="I4" i="11"/>
  <c r="E5" i="11"/>
  <c r="D5" i="11"/>
  <c r="G51" i="13"/>
  <c r="F51" i="13"/>
  <c r="N3" i="12"/>
  <c r="L4" i="12"/>
  <c r="O3" i="12"/>
  <c r="G12" i="12"/>
  <c r="J11" i="12"/>
  <c r="D113" i="14" s="1"/>
  <c r="I11" i="12"/>
  <c r="C113" i="14" s="1"/>
  <c r="J3" i="11"/>
  <c r="I3" i="11"/>
  <c r="I5" i="7"/>
  <c r="J5" i="7"/>
  <c r="G37" i="13"/>
  <c r="D193" i="14" s="1"/>
  <c r="F37" i="13"/>
  <c r="C193" i="14" s="1"/>
  <c r="F29" i="13"/>
  <c r="C184" i="14" s="1"/>
  <c r="G29" i="13"/>
  <c r="D184" i="14" s="1"/>
  <c r="I7" i="7"/>
  <c r="F43" i="13"/>
  <c r="G43" i="13"/>
  <c r="D3" i="11"/>
  <c r="E3" i="11"/>
  <c r="B20" i="12"/>
  <c r="D19" i="12"/>
  <c r="E19" i="12"/>
  <c r="I6" i="7"/>
  <c r="J6" i="7"/>
  <c r="D11" i="12"/>
  <c r="B12" i="12"/>
  <c r="E11" i="12"/>
  <c r="G44" i="13"/>
  <c r="F44" i="13"/>
  <c r="F27" i="13"/>
  <c r="C182" i="14" s="1"/>
  <c r="G27" i="13"/>
  <c r="D182" i="14" s="1"/>
  <c r="F5" i="13"/>
  <c r="C157" i="14" s="1"/>
  <c r="G5" i="13"/>
  <c r="D157" i="14" s="1"/>
  <c r="J5" i="11"/>
  <c r="I5" i="11"/>
  <c r="D3" i="12"/>
  <c r="E3" i="12"/>
  <c r="B4" i="12"/>
  <c r="G20" i="12"/>
  <c r="J19" i="12"/>
  <c r="I19" i="12"/>
  <c r="G36" i="13"/>
  <c r="D192" i="14" s="1"/>
  <c r="F36" i="13"/>
  <c r="C192" i="14" s="1"/>
  <c r="F52" i="13"/>
  <c r="G52" i="13"/>
  <c r="D53" i="13"/>
  <c r="B54" i="13"/>
  <c r="D67" i="13"/>
  <c r="B68" i="13"/>
  <c r="G59" i="13"/>
  <c r="F59" i="13"/>
  <c r="B61" i="13"/>
  <c r="D60" i="13"/>
  <c r="C9" i="13"/>
  <c r="A8" i="13"/>
  <c r="B160" i="14" s="1"/>
  <c r="A39" i="13"/>
  <c r="B195" i="14" s="1"/>
  <c r="C40" i="13"/>
  <c r="D8" i="13"/>
  <c r="B9" i="13"/>
  <c r="C81" i="13"/>
  <c r="A80" i="13"/>
  <c r="B241" i="14" s="1"/>
  <c r="C73" i="13"/>
  <c r="A72" i="13"/>
  <c r="B232" i="14" s="1"/>
  <c r="C65" i="13"/>
  <c r="A64" i="13"/>
  <c r="C57" i="13"/>
  <c r="A56" i="13"/>
  <c r="C49" i="13"/>
  <c r="A48" i="13"/>
  <c r="B49" i="13"/>
  <c r="D48" i="13"/>
  <c r="C34" i="13"/>
  <c r="A34" i="13" s="1"/>
  <c r="B189" i="14" s="1"/>
  <c r="A33" i="13"/>
  <c r="B188" i="14" s="1"/>
  <c r="B41" i="13"/>
  <c r="D40" i="13"/>
  <c r="AQ9" i="7"/>
  <c r="AL9" i="7"/>
  <c r="AG8" i="7"/>
  <c r="AB9" i="7"/>
  <c r="W8" i="7"/>
  <c r="R8" i="7"/>
  <c r="Q7" i="7"/>
  <c r="M9" i="7"/>
  <c r="L8" i="7"/>
  <c r="N8" i="7" s="1"/>
  <c r="O7" i="7"/>
  <c r="H9" i="7"/>
  <c r="G8" i="7"/>
  <c r="I8" i="7" s="1"/>
  <c r="J7" i="7"/>
  <c r="B9" i="7"/>
  <c r="D9" i="7" s="1"/>
  <c r="C10" i="7"/>
  <c r="E8" i="7"/>
  <c r="C19" i="6"/>
  <c r="A20" i="6"/>
  <c r="D19" i="6"/>
  <c r="B205" i="14" l="1"/>
  <c r="D125" i="3"/>
  <c r="A191" i="3"/>
  <c r="B214" i="14"/>
  <c r="A199" i="3"/>
  <c r="D133" i="3"/>
  <c r="B223" i="14"/>
  <c r="A225" i="3"/>
  <c r="A208" i="3"/>
  <c r="D141" i="3"/>
  <c r="F80" i="3"/>
  <c r="D121" i="14"/>
  <c r="F246" i="3"/>
  <c r="E46" i="3"/>
  <c r="G46" i="3" s="1"/>
  <c r="I46" i="3" s="1"/>
  <c r="C33" i="14"/>
  <c r="E128" i="3"/>
  <c r="B194" i="3"/>
  <c r="C209" i="14"/>
  <c r="C42" i="14"/>
  <c r="E38" i="3"/>
  <c r="F46" i="3"/>
  <c r="D33" i="14"/>
  <c r="F128" i="3"/>
  <c r="C194" i="3"/>
  <c r="D209" i="14"/>
  <c r="E104" i="3"/>
  <c r="B236" i="3"/>
  <c r="C146" i="14"/>
  <c r="D42" i="14"/>
  <c r="F38" i="3"/>
  <c r="C80" i="14"/>
  <c r="E56" i="3"/>
  <c r="B168" i="3"/>
  <c r="G168" i="3" s="1"/>
  <c r="I168" i="3" s="1"/>
  <c r="E119" i="3"/>
  <c r="C200" i="14"/>
  <c r="D96" i="14"/>
  <c r="F72" i="3"/>
  <c r="C26" i="14"/>
  <c r="E6" i="3"/>
  <c r="F104" i="3"/>
  <c r="C236" i="3"/>
  <c r="D146" i="14"/>
  <c r="F96" i="3"/>
  <c r="C228" i="3"/>
  <c r="D138" i="14"/>
  <c r="D210" i="14"/>
  <c r="F129" i="3"/>
  <c r="C195" i="3"/>
  <c r="F56" i="3"/>
  <c r="D80" i="14"/>
  <c r="C168" i="3"/>
  <c r="E120" i="3"/>
  <c r="C201" i="14"/>
  <c r="C96" i="14"/>
  <c r="E72" i="3"/>
  <c r="G72" i="3" s="1"/>
  <c r="I72" i="3" s="1"/>
  <c r="D26" i="14"/>
  <c r="F6" i="3"/>
  <c r="D25" i="14"/>
  <c r="F5" i="3"/>
  <c r="E96" i="3"/>
  <c r="G96" i="3" s="1"/>
  <c r="I96" i="3" s="1"/>
  <c r="B228" i="3"/>
  <c r="G228" i="3" s="1"/>
  <c r="I228" i="3" s="1"/>
  <c r="C138" i="14"/>
  <c r="E47" i="3"/>
  <c r="G47" i="3" s="1"/>
  <c r="I47" i="3" s="1"/>
  <c r="C34" i="14"/>
  <c r="B175" i="3"/>
  <c r="E5" i="3"/>
  <c r="C25" i="14"/>
  <c r="D202" i="14"/>
  <c r="F121" i="3"/>
  <c r="C210" i="14"/>
  <c r="E129" i="3"/>
  <c r="G129" i="3" s="1"/>
  <c r="I129" i="3" s="1"/>
  <c r="B195" i="3"/>
  <c r="G195" i="3" s="1"/>
  <c r="I195" i="3" s="1"/>
  <c r="C35" i="14"/>
  <c r="E48" i="3"/>
  <c r="B176" i="3"/>
  <c r="D88" i="14"/>
  <c r="F64" i="3"/>
  <c r="C163" i="3"/>
  <c r="F4" i="3"/>
  <c r="D24" i="14"/>
  <c r="F88" i="3"/>
  <c r="D130" i="14"/>
  <c r="C211" i="3"/>
  <c r="F47" i="3"/>
  <c r="D34" i="14"/>
  <c r="V4" i="8" s="1"/>
  <c r="V5" i="8" s="1"/>
  <c r="C175" i="3"/>
  <c r="E121" i="3"/>
  <c r="C202" i="14"/>
  <c r="E39" i="3"/>
  <c r="G39" i="3" s="1"/>
  <c r="I39" i="3" s="1"/>
  <c r="B181" i="3"/>
  <c r="G181" i="3" s="1"/>
  <c r="I181" i="3" s="1"/>
  <c r="C43" i="14"/>
  <c r="E136" i="3"/>
  <c r="B220" i="3"/>
  <c r="C218" i="14"/>
  <c r="B203" i="3"/>
  <c r="F136" i="3"/>
  <c r="C220" i="3"/>
  <c r="C203" i="3"/>
  <c r="D218" i="14"/>
  <c r="D35" i="14"/>
  <c r="F48" i="3"/>
  <c r="C176" i="3"/>
  <c r="E4" i="3"/>
  <c r="G4" i="3" s="1"/>
  <c r="I4" i="3" s="1"/>
  <c r="C24" i="14"/>
  <c r="F120" i="3"/>
  <c r="D201" i="14"/>
  <c r="E80" i="3"/>
  <c r="G80" i="3" s="1"/>
  <c r="I80" i="3" s="1"/>
  <c r="C121" i="14"/>
  <c r="E246" i="3"/>
  <c r="G246" i="3" s="1"/>
  <c r="E64" i="3"/>
  <c r="G64" i="3" s="1"/>
  <c r="I64" i="3" s="1"/>
  <c r="C88" i="14"/>
  <c r="B163" i="3"/>
  <c r="F119" i="3"/>
  <c r="D200" i="14"/>
  <c r="E88" i="3"/>
  <c r="C130" i="14"/>
  <c r="B211" i="3"/>
  <c r="G211" i="3" s="1"/>
  <c r="I211" i="3" s="1"/>
  <c r="E234" i="3"/>
  <c r="E215" i="3"/>
  <c r="E161" i="3"/>
  <c r="O18" i="11"/>
  <c r="O6" i="7"/>
  <c r="N6" i="7"/>
  <c r="G6" i="6"/>
  <c r="E6" i="6"/>
  <c r="B8" i="6"/>
  <c r="C7" i="6"/>
  <c r="N5" i="11"/>
  <c r="N3" i="7"/>
  <c r="N4" i="7"/>
  <c r="O5" i="11"/>
  <c r="O4" i="7"/>
  <c r="O3" i="7"/>
  <c r="N7" i="7"/>
  <c r="H5" i="6"/>
  <c r="K5" i="6"/>
  <c r="Q5" i="7"/>
  <c r="J5" i="6"/>
  <c r="T4" i="7" s="1"/>
  <c r="I5" i="6"/>
  <c r="Q6" i="7"/>
  <c r="O5" i="7"/>
  <c r="N5" i="7"/>
  <c r="I20" i="12"/>
  <c r="J20" i="12"/>
  <c r="G21" i="12"/>
  <c r="B5" i="12"/>
  <c r="D4" i="12"/>
  <c r="E4" i="12"/>
  <c r="N12" i="12"/>
  <c r="L13" i="12"/>
  <c r="O12" i="12"/>
  <c r="O4" i="12"/>
  <c r="N4" i="12"/>
  <c r="L5" i="12"/>
  <c r="N20" i="12"/>
  <c r="L21" i="12"/>
  <c r="O20" i="12"/>
  <c r="G13" i="12"/>
  <c r="J12" i="12"/>
  <c r="D114" i="14" s="1"/>
  <c r="I12" i="12"/>
  <c r="C114" i="14" s="1"/>
  <c r="E9" i="7"/>
  <c r="D12" i="12"/>
  <c r="B13" i="12"/>
  <c r="E12" i="12"/>
  <c r="D20" i="12"/>
  <c r="B21" i="12"/>
  <c r="E20" i="12"/>
  <c r="I4" i="12"/>
  <c r="C106" i="14" s="1"/>
  <c r="J4" i="12"/>
  <c r="D106" i="14" s="1"/>
  <c r="G5" i="12"/>
  <c r="D54" i="13"/>
  <c r="B55" i="13"/>
  <c r="B69" i="13"/>
  <c r="D68" i="13"/>
  <c r="B76" i="13"/>
  <c r="D75" i="13"/>
  <c r="G60" i="13"/>
  <c r="F60" i="13"/>
  <c r="F53" i="13"/>
  <c r="G53" i="13"/>
  <c r="G67" i="13"/>
  <c r="D227" i="14" s="1"/>
  <c r="F67" i="13"/>
  <c r="C227" i="14" s="1"/>
  <c r="D61" i="13"/>
  <c r="B62" i="13"/>
  <c r="A40" i="13"/>
  <c r="B196" i="14" s="1"/>
  <c r="C41" i="13"/>
  <c r="C10" i="13"/>
  <c r="A10" i="13" s="1"/>
  <c r="B162" i="14" s="1"/>
  <c r="A9" i="13"/>
  <c r="B161" i="14" s="1"/>
  <c r="U4" i="8" s="1"/>
  <c r="D9" i="13"/>
  <c r="B10" i="13"/>
  <c r="D10" i="13" s="1"/>
  <c r="C82" i="13"/>
  <c r="A82" i="13" s="1"/>
  <c r="B243" i="14" s="1"/>
  <c r="A81" i="13"/>
  <c r="B242" i="14" s="1"/>
  <c r="C74" i="13"/>
  <c r="A74" i="13" s="1"/>
  <c r="B234" i="14" s="1"/>
  <c r="A73" i="13"/>
  <c r="B233" i="14" s="1"/>
  <c r="C66" i="13"/>
  <c r="A66" i="13" s="1"/>
  <c r="A65" i="13"/>
  <c r="C58" i="13"/>
  <c r="A58" i="13" s="1"/>
  <c r="A57" i="13"/>
  <c r="D49" i="13"/>
  <c r="B50" i="13"/>
  <c r="D50" i="13" s="1"/>
  <c r="C50" i="13"/>
  <c r="A50" i="13" s="1"/>
  <c r="A49" i="13"/>
  <c r="B42" i="13"/>
  <c r="D42" i="13" s="1"/>
  <c r="D41" i="13"/>
  <c r="AQ10" i="7"/>
  <c r="AL10" i="7"/>
  <c r="AG9" i="7"/>
  <c r="AB10" i="7"/>
  <c r="W9" i="7"/>
  <c r="V8" i="7"/>
  <c r="R9" i="7"/>
  <c r="Q8" i="7"/>
  <c r="S8" i="7" s="1"/>
  <c r="M10" i="7"/>
  <c r="L9" i="7"/>
  <c r="N9" i="7" s="1"/>
  <c r="O8" i="7"/>
  <c r="H10" i="7"/>
  <c r="G9" i="7"/>
  <c r="I9" i="7" s="1"/>
  <c r="J8" i="7"/>
  <c r="B10" i="7"/>
  <c r="D10" i="7" s="1"/>
  <c r="C11" i="7"/>
  <c r="C20" i="6"/>
  <c r="A21" i="6"/>
  <c r="D20" i="6"/>
  <c r="G121" i="3" l="1"/>
  <c r="I121" i="3" s="1"/>
  <c r="A192" i="3"/>
  <c r="B206" i="14"/>
  <c r="D126" i="3"/>
  <c r="A193" i="3"/>
  <c r="B207" i="14"/>
  <c r="D127" i="3"/>
  <c r="B215" i="14"/>
  <c r="A200" i="3"/>
  <c r="D134" i="3"/>
  <c r="D135" i="3"/>
  <c r="B216" i="14"/>
  <c r="A201" i="3"/>
  <c r="D143" i="3"/>
  <c r="B225" i="14"/>
  <c r="A227" i="3"/>
  <c r="A210" i="3"/>
  <c r="A226" i="3"/>
  <c r="D142" i="3"/>
  <c r="B224" i="14"/>
  <c r="A209" i="3"/>
  <c r="G194" i="3"/>
  <c r="I194" i="3" s="1"/>
  <c r="G128" i="3"/>
  <c r="I128" i="3" s="1"/>
  <c r="G56" i="3"/>
  <c r="I56" i="3" s="1"/>
  <c r="G203" i="3"/>
  <c r="I203" i="3" s="1"/>
  <c r="G6" i="3"/>
  <c r="I6" i="3" s="1"/>
  <c r="G220" i="3"/>
  <c r="I220" i="3" s="1"/>
  <c r="G88" i="3"/>
  <c r="I88" i="3" s="1"/>
  <c r="C219" i="14"/>
  <c r="E137" i="3"/>
  <c r="B204" i="3"/>
  <c r="B221" i="3"/>
  <c r="G175" i="3"/>
  <c r="I175" i="3" s="1"/>
  <c r="G104" i="3"/>
  <c r="I104" i="3" s="1"/>
  <c r="E73" i="3"/>
  <c r="C97" i="14"/>
  <c r="D147" i="14"/>
  <c r="F105" i="3"/>
  <c r="C237" i="3"/>
  <c r="E97" i="3"/>
  <c r="C139" i="14"/>
  <c r="B229" i="3"/>
  <c r="T5" i="8"/>
  <c r="U5" i="8"/>
  <c r="D211" i="14"/>
  <c r="F130" i="3"/>
  <c r="C196" i="3"/>
  <c r="D89" i="14"/>
  <c r="F65" i="3"/>
  <c r="C164" i="3"/>
  <c r="F57" i="3"/>
  <c r="D81" i="14"/>
  <c r="C169" i="3"/>
  <c r="E105" i="3"/>
  <c r="G105" i="3" s="1"/>
  <c r="I105" i="3" s="1"/>
  <c r="B237" i="3"/>
  <c r="C147" i="14"/>
  <c r="E57" i="3"/>
  <c r="C81" i="14"/>
  <c r="B169" i="3"/>
  <c r="F40" i="3"/>
  <c r="D44" i="14"/>
  <c r="C182" i="3"/>
  <c r="E65" i="3"/>
  <c r="C89" i="14"/>
  <c r="B164" i="3"/>
  <c r="C211" i="14"/>
  <c r="E130" i="3"/>
  <c r="B196" i="3"/>
  <c r="C204" i="3"/>
  <c r="F137" i="3"/>
  <c r="D219" i="14"/>
  <c r="C221" i="3"/>
  <c r="E89" i="3"/>
  <c r="B212" i="3"/>
  <c r="C131" i="14"/>
  <c r="G136" i="3"/>
  <c r="I136" i="3" s="1"/>
  <c r="G120" i="3"/>
  <c r="I120" i="3" s="1"/>
  <c r="C212" i="3"/>
  <c r="D131" i="14"/>
  <c r="F89" i="3"/>
  <c r="F247" i="3"/>
  <c r="D122" i="14"/>
  <c r="F81" i="3"/>
  <c r="E40" i="3"/>
  <c r="G40" i="3" s="1"/>
  <c r="I40" i="3" s="1"/>
  <c r="C44" i="14"/>
  <c r="B182" i="3"/>
  <c r="G182" i="3" s="1"/>
  <c r="I182" i="3" s="1"/>
  <c r="G176" i="3"/>
  <c r="I176" i="3" s="1"/>
  <c r="G38" i="3"/>
  <c r="I38" i="3" s="1"/>
  <c r="F73" i="3"/>
  <c r="D97" i="14"/>
  <c r="D139" i="14"/>
  <c r="F97" i="3"/>
  <c r="C229" i="3"/>
  <c r="E81" i="3"/>
  <c r="E247" i="3"/>
  <c r="C122" i="14"/>
  <c r="G48" i="3"/>
  <c r="I48" i="3" s="1"/>
  <c r="G5" i="3"/>
  <c r="I5" i="3" s="1"/>
  <c r="G119" i="3"/>
  <c r="I119" i="3" s="1"/>
  <c r="E235" i="3"/>
  <c r="E216" i="3"/>
  <c r="E162" i="3"/>
  <c r="O19" i="11"/>
  <c r="N6" i="11"/>
  <c r="F6" i="13"/>
  <c r="C158" i="14" s="1"/>
  <c r="F38" i="13"/>
  <c r="C194" i="14" s="1"/>
  <c r="S3" i="7"/>
  <c r="F46" i="13"/>
  <c r="S4" i="7"/>
  <c r="I6" i="11"/>
  <c r="D6" i="11"/>
  <c r="F30" i="13"/>
  <c r="C185" i="14" s="1"/>
  <c r="B9" i="6"/>
  <c r="C8" i="6"/>
  <c r="H6" i="6"/>
  <c r="K6" i="6"/>
  <c r="I6" i="6"/>
  <c r="V5" i="7"/>
  <c r="J6" i="6"/>
  <c r="Y3" i="7" s="1"/>
  <c r="V6" i="7"/>
  <c r="V7" i="7"/>
  <c r="G7" i="6"/>
  <c r="E7" i="6"/>
  <c r="S6" i="7"/>
  <c r="T6" i="7"/>
  <c r="X8" i="7"/>
  <c r="T5" i="7"/>
  <c r="S5" i="7"/>
  <c r="T3" i="7"/>
  <c r="G6" i="13"/>
  <c r="D158" i="14" s="1"/>
  <c r="G38" i="13"/>
  <c r="D194" i="14" s="1"/>
  <c r="O6" i="11"/>
  <c r="G46" i="13"/>
  <c r="G30" i="13"/>
  <c r="D185" i="14" s="1"/>
  <c r="E6" i="11"/>
  <c r="J6" i="11"/>
  <c r="T7" i="7"/>
  <c r="S7" i="7"/>
  <c r="E10" i="7"/>
  <c r="D21" i="12"/>
  <c r="B22" i="12"/>
  <c r="E21" i="12"/>
  <c r="G14" i="12"/>
  <c r="I13" i="12"/>
  <c r="C115" i="14" s="1"/>
  <c r="J13" i="12"/>
  <c r="D115" i="14" s="1"/>
  <c r="L14" i="12"/>
  <c r="O13" i="12"/>
  <c r="N13" i="12"/>
  <c r="L22" i="12"/>
  <c r="O21" i="12"/>
  <c r="N21" i="12"/>
  <c r="I21" i="12"/>
  <c r="G22" i="12"/>
  <c r="J21" i="12"/>
  <c r="B14" i="12"/>
  <c r="E13" i="12"/>
  <c r="D13" i="12"/>
  <c r="I5" i="12"/>
  <c r="C107" i="14" s="1"/>
  <c r="G6" i="12"/>
  <c r="J5" i="12"/>
  <c r="D107" i="14" s="1"/>
  <c r="L6" i="12"/>
  <c r="N5" i="12"/>
  <c r="O5" i="12"/>
  <c r="B6" i="12"/>
  <c r="D5" i="12"/>
  <c r="E5" i="12"/>
  <c r="G61" i="13"/>
  <c r="F61" i="13"/>
  <c r="G68" i="13"/>
  <c r="D228" i="14" s="1"/>
  <c r="F68" i="13"/>
  <c r="C228" i="14" s="1"/>
  <c r="D69" i="13"/>
  <c r="B70" i="13"/>
  <c r="B63" i="13"/>
  <c r="D62" i="13"/>
  <c r="G75" i="13"/>
  <c r="D236" i="14" s="1"/>
  <c r="F75" i="13"/>
  <c r="C236" i="14" s="1"/>
  <c r="B77" i="13"/>
  <c r="D76" i="13"/>
  <c r="B56" i="13"/>
  <c r="D55" i="13"/>
  <c r="G54" i="13"/>
  <c r="F54" i="13"/>
  <c r="A41" i="13"/>
  <c r="B197" i="14" s="1"/>
  <c r="C42" i="13"/>
  <c r="A42" i="13" s="1"/>
  <c r="B198" i="14" s="1"/>
  <c r="AQ11" i="7"/>
  <c r="AL11" i="7"/>
  <c r="AG10" i="7"/>
  <c r="AB11" i="7"/>
  <c r="AA10" i="7"/>
  <c r="W10" i="7"/>
  <c r="V9" i="7"/>
  <c r="X9" i="7" s="1"/>
  <c r="Y8" i="7"/>
  <c r="Q9" i="7"/>
  <c r="S9" i="7" s="1"/>
  <c r="R10" i="7"/>
  <c r="T8" i="7"/>
  <c r="M11" i="7"/>
  <c r="L10" i="7"/>
  <c r="N10" i="7" s="1"/>
  <c r="O9" i="7"/>
  <c r="H11" i="7"/>
  <c r="G10" i="7"/>
  <c r="I10" i="7" s="1"/>
  <c r="J9" i="7"/>
  <c r="B11" i="7"/>
  <c r="D11" i="7" s="1"/>
  <c r="C12" i="7"/>
  <c r="A22" i="6"/>
  <c r="D21" i="6"/>
  <c r="C21" i="6"/>
  <c r="G196" i="3" l="1"/>
  <c r="I196" i="3" s="1"/>
  <c r="G130" i="3"/>
  <c r="I130" i="3" s="1"/>
  <c r="G204" i="3"/>
  <c r="I204" i="3" s="1"/>
  <c r="G169" i="3"/>
  <c r="I169" i="3" s="1"/>
  <c r="G212" i="3"/>
  <c r="I212" i="3" s="1"/>
  <c r="G229" i="3"/>
  <c r="I229" i="3" s="1"/>
  <c r="G97" i="3"/>
  <c r="I97" i="3" s="1"/>
  <c r="C212" i="14"/>
  <c r="E131" i="3"/>
  <c r="B197" i="3"/>
  <c r="E248" i="3"/>
  <c r="C123" i="14"/>
  <c r="E82" i="3"/>
  <c r="F49" i="3"/>
  <c r="D36" i="14"/>
  <c r="C177" i="3"/>
  <c r="C45" i="14"/>
  <c r="E41" i="3"/>
  <c r="B183" i="3"/>
  <c r="G73" i="3"/>
  <c r="I73" i="3" s="1"/>
  <c r="D220" i="14"/>
  <c r="C222" i="3"/>
  <c r="C205" i="3"/>
  <c r="F138" i="3"/>
  <c r="C148" i="14"/>
  <c r="B238" i="3"/>
  <c r="E106" i="3"/>
  <c r="D27" i="14"/>
  <c r="F7" i="3"/>
  <c r="C27" i="14"/>
  <c r="E7" i="3"/>
  <c r="D82" i="14"/>
  <c r="F58" i="3"/>
  <c r="C170" i="3"/>
  <c r="D148" i="14"/>
  <c r="C238" i="3"/>
  <c r="F106" i="3"/>
  <c r="D98" i="14"/>
  <c r="F74" i="3"/>
  <c r="E49" i="3"/>
  <c r="C36" i="14"/>
  <c r="B177" i="3"/>
  <c r="G177" i="3" s="1"/>
  <c r="I177" i="3" s="1"/>
  <c r="G89" i="3"/>
  <c r="I89" i="3" s="1"/>
  <c r="G57" i="3"/>
  <c r="I57" i="3" s="1"/>
  <c r="E58" i="3"/>
  <c r="C82" i="14"/>
  <c r="B170" i="3"/>
  <c r="G221" i="3"/>
  <c r="I221" i="3" s="1"/>
  <c r="C220" i="14"/>
  <c r="B222" i="3"/>
  <c r="E138" i="3"/>
  <c r="B205" i="3"/>
  <c r="D212" i="14"/>
  <c r="C197" i="3"/>
  <c r="F131" i="3"/>
  <c r="D203" i="14"/>
  <c r="C189" i="3"/>
  <c r="F123" i="3"/>
  <c r="F122" i="3"/>
  <c r="C140" i="14"/>
  <c r="B230" i="3"/>
  <c r="E98" i="3"/>
  <c r="E74" i="3"/>
  <c r="G74" i="3" s="1"/>
  <c r="I74" i="3" s="1"/>
  <c r="C98" i="14"/>
  <c r="D45" i="14"/>
  <c r="F41" i="3"/>
  <c r="C183" i="3"/>
  <c r="C203" i="14"/>
  <c r="B189" i="3"/>
  <c r="E123" i="3"/>
  <c r="E122" i="3"/>
  <c r="G247" i="3"/>
  <c r="G65" i="3"/>
  <c r="I65" i="3" s="1"/>
  <c r="C90" i="14"/>
  <c r="E66" i="3"/>
  <c r="B165" i="3"/>
  <c r="D90" i="14"/>
  <c r="F66" i="3"/>
  <c r="C165" i="3"/>
  <c r="D132" i="14"/>
  <c r="C213" i="3"/>
  <c r="F90" i="3"/>
  <c r="D140" i="14"/>
  <c r="C230" i="3"/>
  <c r="F98" i="3"/>
  <c r="G81" i="3"/>
  <c r="I81" i="3" s="1"/>
  <c r="G137" i="3"/>
  <c r="I137" i="3" s="1"/>
  <c r="C132" i="14"/>
  <c r="B213" i="3"/>
  <c r="G213" i="3" s="1"/>
  <c r="I213" i="3" s="1"/>
  <c r="E90" i="3"/>
  <c r="G90" i="3" s="1"/>
  <c r="I90" i="3" s="1"/>
  <c r="D123" i="14"/>
  <c r="F248" i="3"/>
  <c r="F82" i="3"/>
  <c r="E236" i="3"/>
  <c r="E163" i="3"/>
  <c r="E217" i="3"/>
  <c r="X6" i="7"/>
  <c r="Y6" i="7"/>
  <c r="X5" i="7"/>
  <c r="Y5" i="7"/>
  <c r="N7" i="11"/>
  <c r="X3" i="7"/>
  <c r="X4" i="7"/>
  <c r="I7" i="11"/>
  <c r="F47" i="13"/>
  <c r="F31" i="13"/>
  <c r="C186" i="14" s="1"/>
  <c r="F7" i="13"/>
  <c r="C159" i="14" s="1"/>
  <c r="D7" i="11"/>
  <c r="F39" i="13"/>
  <c r="C195" i="14" s="1"/>
  <c r="E8" i="6"/>
  <c r="AF10" i="7" s="1"/>
  <c r="G8" i="6"/>
  <c r="K7" i="6"/>
  <c r="H7" i="6"/>
  <c r="I7" i="6"/>
  <c r="J7" i="6"/>
  <c r="AA5" i="7"/>
  <c r="AA6" i="7"/>
  <c r="AA7" i="7"/>
  <c r="AA8" i="7"/>
  <c r="AA9" i="7"/>
  <c r="Y4" i="7"/>
  <c r="G47" i="13"/>
  <c r="G39" i="13"/>
  <c r="D195" i="14" s="1"/>
  <c r="G7" i="13"/>
  <c r="D159" i="14" s="1"/>
  <c r="O7" i="11"/>
  <c r="J7" i="11"/>
  <c r="E7" i="11"/>
  <c r="G31" i="13"/>
  <c r="D186" i="14" s="1"/>
  <c r="C9" i="6"/>
  <c r="B10" i="6"/>
  <c r="AC10" i="7"/>
  <c r="X7" i="7"/>
  <c r="Y7" i="7"/>
  <c r="E14" i="12"/>
  <c r="D14" i="12"/>
  <c r="B15" i="12"/>
  <c r="L15" i="12"/>
  <c r="O14" i="12"/>
  <c r="N14" i="12"/>
  <c r="N6" i="12"/>
  <c r="O6" i="12"/>
  <c r="L7" i="12"/>
  <c r="J22" i="12"/>
  <c r="I22" i="12"/>
  <c r="G23" i="12"/>
  <c r="J14" i="12"/>
  <c r="D116" i="14" s="1"/>
  <c r="G15" i="12"/>
  <c r="I14" i="12"/>
  <c r="C116" i="14" s="1"/>
  <c r="O22" i="12"/>
  <c r="N22" i="12"/>
  <c r="L23" i="12"/>
  <c r="B23" i="12"/>
  <c r="E22" i="12"/>
  <c r="D22" i="12"/>
  <c r="I6" i="12"/>
  <c r="C108" i="14" s="1"/>
  <c r="G7" i="12"/>
  <c r="J6" i="12"/>
  <c r="D108" i="14" s="1"/>
  <c r="E6" i="12"/>
  <c r="B7" i="12"/>
  <c r="D6" i="12"/>
  <c r="G62" i="13"/>
  <c r="F62" i="13"/>
  <c r="B64" i="13"/>
  <c r="D63" i="13"/>
  <c r="F55" i="13"/>
  <c r="G55" i="13"/>
  <c r="G76" i="13"/>
  <c r="D237" i="14" s="1"/>
  <c r="F76" i="13"/>
  <c r="C237" i="14" s="1"/>
  <c r="D77" i="13"/>
  <c r="B78" i="13"/>
  <c r="D70" i="13"/>
  <c r="B71" i="13"/>
  <c r="B57" i="13"/>
  <c r="D56" i="13"/>
  <c r="G69" i="13"/>
  <c r="D229" i="14" s="1"/>
  <c r="F69" i="13"/>
  <c r="C229" i="14" s="1"/>
  <c r="AQ12" i="7"/>
  <c r="AL12" i="7"/>
  <c r="AG11" i="7"/>
  <c r="AB12" i="7"/>
  <c r="AA11" i="7"/>
  <c r="AC11" i="7" s="1"/>
  <c r="AD10" i="7"/>
  <c r="W11" i="7"/>
  <c r="V10" i="7"/>
  <c r="X10" i="7" s="1"/>
  <c r="Y9" i="7"/>
  <c r="R11" i="7"/>
  <c r="Q10" i="7"/>
  <c r="S10" i="7" s="1"/>
  <c r="T9" i="7"/>
  <c r="M12" i="7"/>
  <c r="L11" i="7"/>
  <c r="N11" i="7" s="1"/>
  <c r="O10" i="7"/>
  <c r="J10" i="7"/>
  <c r="G11" i="7"/>
  <c r="I11" i="7" s="1"/>
  <c r="H12" i="7"/>
  <c r="C13" i="7"/>
  <c r="B12" i="7"/>
  <c r="D12" i="7" s="1"/>
  <c r="E11" i="7"/>
  <c r="D22" i="6"/>
  <c r="A23" i="6"/>
  <c r="C22" i="6"/>
  <c r="G170" i="3" l="1"/>
  <c r="I170" i="3" s="1"/>
  <c r="G123" i="3"/>
  <c r="I123" i="3" s="1"/>
  <c r="G189" i="3"/>
  <c r="I189" i="3" s="1"/>
  <c r="G58" i="3"/>
  <c r="I58" i="3" s="1"/>
  <c r="G205" i="3"/>
  <c r="I205" i="3" s="1"/>
  <c r="G66" i="3"/>
  <c r="I66" i="3" s="1"/>
  <c r="G138" i="3"/>
  <c r="I138" i="3" s="1"/>
  <c r="G106" i="3"/>
  <c r="I106" i="3" s="1"/>
  <c r="C133" i="14"/>
  <c r="B214" i="3"/>
  <c r="E91" i="3"/>
  <c r="E8" i="3"/>
  <c r="C28" i="14"/>
  <c r="G122" i="3"/>
  <c r="I122" i="3" s="1"/>
  <c r="G7" i="3"/>
  <c r="I7" i="3" s="1"/>
  <c r="C141" i="14"/>
  <c r="B231" i="3"/>
  <c r="E99" i="3"/>
  <c r="G98" i="3"/>
  <c r="I98" i="3" s="1"/>
  <c r="C221" i="14"/>
  <c r="E139" i="3"/>
  <c r="G139" i="3" s="1"/>
  <c r="I139" i="3" s="1"/>
  <c r="B223" i="3"/>
  <c r="B206" i="3"/>
  <c r="C99" i="14"/>
  <c r="E75" i="3"/>
  <c r="C231" i="3"/>
  <c r="D141" i="14"/>
  <c r="F99" i="3"/>
  <c r="F124" i="3"/>
  <c r="C190" i="3"/>
  <c r="D204" i="14"/>
  <c r="G230" i="3"/>
  <c r="I230" i="3" s="1"/>
  <c r="G82" i="3"/>
  <c r="I82" i="3" s="1"/>
  <c r="F139" i="3"/>
  <c r="C223" i="3"/>
  <c r="D221" i="14"/>
  <c r="C206" i="3"/>
  <c r="D99" i="14"/>
  <c r="F75" i="3"/>
  <c r="B190" i="3"/>
  <c r="E124" i="3"/>
  <c r="C204" i="14"/>
  <c r="C83" i="14"/>
  <c r="E59" i="3"/>
  <c r="B158" i="3"/>
  <c r="E50" i="3"/>
  <c r="C37" i="14"/>
  <c r="B173" i="3"/>
  <c r="G183" i="3"/>
  <c r="I183" i="3" s="1"/>
  <c r="G248" i="3"/>
  <c r="C124" i="14"/>
  <c r="E249" i="3"/>
  <c r="E83" i="3"/>
  <c r="D124" i="14"/>
  <c r="F83" i="3"/>
  <c r="F249" i="3"/>
  <c r="C91" i="14"/>
  <c r="E67" i="3"/>
  <c r="B166" i="3"/>
  <c r="F8" i="3"/>
  <c r="D28" i="14"/>
  <c r="G222" i="3"/>
  <c r="I222" i="3" s="1"/>
  <c r="G41" i="3"/>
  <c r="I41" i="3" s="1"/>
  <c r="G197" i="3"/>
  <c r="I197" i="3" s="1"/>
  <c r="F132" i="3"/>
  <c r="C198" i="3"/>
  <c r="D213" i="14"/>
  <c r="D83" i="14"/>
  <c r="F59" i="3"/>
  <c r="C158" i="3"/>
  <c r="C149" i="14"/>
  <c r="B239" i="3"/>
  <c r="E107" i="3"/>
  <c r="D91" i="14"/>
  <c r="F67" i="3"/>
  <c r="C166" i="3"/>
  <c r="F50" i="3"/>
  <c r="D37" i="14"/>
  <c r="C173" i="3"/>
  <c r="G131" i="3"/>
  <c r="I131" i="3" s="1"/>
  <c r="C213" i="14"/>
  <c r="B198" i="3"/>
  <c r="E132" i="3"/>
  <c r="G132" i="3" s="1"/>
  <c r="I132" i="3" s="1"/>
  <c r="C239" i="3"/>
  <c r="D149" i="14"/>
  <c r="F107" i="3"/>
  <c r="D133" i="14"/>
  <c r="C214" i="3"/>
  <c r="F91" i="3"/>
  <c r="D46" i="14"/>
  <c r="F42" i="3"/>
  <c r="C184" i="3"/>
  <c r="C46" i="14"/>
  <c r="E42" i="3"/>
  <c r="G42" i="3" s="1"/>
  <c r="I42" i="3" s="1"/>
  <c r="B184" i="3"/>
  <c r="G49" i="3"/>
  <c r="I49" i="3" s="1"/>
  <c r="E237" i="3"/>
  <c r="G236" i="3"/>
  <c r="I236" i="3" s="1"/>
  <c r="G163" i="3"/>
  <c r="I163" i="3" s="1"/>
  <c r="E164" i="3"/>
  <c r="E218" i="3"/>
  <c r="AC8" i="7"/>
  <c r="AD8" i="7"/>
  <c r="AC5" i="7"/>
  <c r="AD5" i="7"/>
  <c r="AC6" i="7"/>
  <c r="AD6" i="7"/>
  <c r="C10" i="6"/>
  <c r="C12" i="10"/>
  <c r="C13" i="10"/>
  <c r="AD4" i="7"/>
  <c r="AC3" i="7"/>
  <c r="N8" i="11"/>
  <c r="AC4" i="7"/>
  <c r="D8" i="11"/>
  <c r="I8" i="11"/>
  <c r="F40" i="13"/>
  <c r="C196" i="14" s="1"/>
  <c r="F48" i="13"/>
  <c r="F8" i="13"/>
  <c r="C160" i="14" s="1"/>
  <c r="F32" i="13"/>
  <c r="C187" i="14" s="1"/>
  <c r="AC7" i="7"/>
  <c r="AD7" i="7"/>
  <c r="K8" i="6"/>
  <c r="AF5" i="7"/>
  <c r="I8" i="6"/>
  <c r="H8" i="6"/>
  <c r="AF6" i="7"/>
  <c r="J8" i="6"/>
  <c r="AF7" i="7"/>
  <c r="AF8" i="7"/>
  <c r="AF9" i="7"/>
  <c r="G9" i="6"/>
  <c r="E9" i="6"/>
  <c r="AD3" i="7"/>
  <c r="E8" i="11"/>
  <c r="J8" i="11"/>
  <c r="G8" i="13"/>
  <c r="D160" i="14" s="1"/>
  <c r="G40" i="13"/>
  <c r="D196" i="14" s="1"/>
  <c r="G32" i="13"/>
  <c r="D187" i="14" s="1"/>
  <c r="G48" i="13"/>
  <c r="O8" i="11"/>
  <c r="AC9" i="7"/>
  <c r="AD9" i="7"/>
  <c r="G8" i="12"/>
  <c r="I7" i="12"/>
  <c r="C109" i="14" s="1"/>
  <c r="J7" i="12"/>
  <c r="D109" i="14" s="1"/>
  <c r="G16" i="12"/>
  <c r="J15" i="12"/>
  <c r="D117" i="14" s="1"/>
  <c r="I15" i="12"/>
  <c r="C117" i="14" s="1"/>
  <c r="I23" i="12"/>
  <c r="G24" i="12"/>
  <c r="J23" i="12"/>
  <c r="L16" i="12"/>
  <c r="N15" i="12"/>
  <c r="O15" i="12"/>
  <c r="B24" i="12"/>
  <c r="E23" i="12"/>
  <c r="D23" i="12"/>
  <c r="D15" i="12"/>
  <c r="B16" i="12"/>
  <c r="E15" i="12"/>
  <c r="B8" i="12"/>
  <c r="D7" i="12"/>
  <c r="E7" i="12"/>
  <c r="O23" i="12"/>
  <c r="L24" i="12"/>
  <c r="N23" i="12"/>
  <c r="O7" i="12"/>
  <c r="L8" i="12"/>
  <c r="N7" i="12"/>
  <c r="B72" i="13"/>
  <c r="D71" i="13"/>
  <c r="G63" i="13"/>
  <c r="F63" i="13"/>
  <c r="G70" i="13"/>
  <c r="D230" i="14" s="1"/>
  <c r="F70" i="13"/>
  <c r="C230" i="14" s="1"/>
  <c r="D64" i="13"/>
  <c r="B65" i="13"/>
  <c r="D78" i="13"/>
  <c r="B79" i="13"/>
  <c r="F56" i="13"/>
  <c r="G56" i="13"/>
  <c r="D57" i="13"/>
  <c r="B58" i="13"/>
  <c r="D58" i="13" s="1"/>
  <c r="F77" i="13"/>
  <c r="C238" i="14" s="1"/>
  <c r="G77" i="13"/>
  <c r="D238" i="14" s="1"/>
  <c r="AQ13" i="7"/>
  <c r="AL13" i="7"/>
  <c r="AK12" i="7"/>
  <c r="AI10" i="7"/>
  <c r="AG12" i="7"/>
  <c r="AF11" i="7"/>
  <c r="AH11" i="7" s="1"/>
  <c r="AB13" i="7"/>
  <c r="AA12" i="7"/>
  <c r="AC12" i="7" s="1"/>
  <c r="AD11" i="7"/>
  <c r="Y10" i="7"/>
  <c r="V11" i="7"/>
  <c r="X11" i="7" s="1"/>
  <c r="W12" i="7"/>
  <c r="T10" i="7"/>
  <c r="Q11" i="7"/>
  <c r="S11" i="7" s="1"/>
  <c r="R12" i="7"/>
  <c r="M13" i="7"/>
  <c r="L12" i="7"/>
  <c r="N12" i="7" s="1"/>
  <c r="O11" i="7"/>
  <c r="H13" i="7"/>
  <c r="G12" i="7"/>
  <c r="I12" i="7" s="1"/>
  <c r="J11" i="7"/>
  <c r="E12" i="7"/>
  <c r="C14" i="7"/>
  <c r="B13" i="7"/>
  <c r="D13" i="7" s="1"/>
  <c r="A24" i="6"/>
  <c r="D23" i="6"/>
  <c r="C23" i="6"/>
  <c r="G223" i="3" l="1"/>
  <c r="I223" i="3" s="1"/>
  <c r="G198" i="3"/>
  <c r="I198" i="3" s="1"/>
  <c r="G83" i="3"/>
  <c r="I83" i="3" s="1"/>
  <c r="G184" i="3"/>
  <c r="I184" i="3" s="1"/>
  <c r="G249" i="3"/>
  <c r="F133" i="3"/>
  <c r="D214" i="14"/>
  <c r="C199" i="3"/>
  <c r="E108" i="3"/>
  <c r="G108" i="3" s="1"/>
  <c r="I108" i="3" s="1"/>
  <c r="B240" i="3"/>
  <c r="C150" i="14"/>
  <c r="C92" i="14"/>
  <c r="E68" i="3"/>
  <c r="D29" i="14"/>
  <c r="F9" i="3"/>
  <c r="G173" i="3"/>
  <c r="I173" i="3" s="1"/>
  <c r="G190" i="3"/>
  <c r="I190" i="3" s="1"/>
  <c r="E140" i="3"/>
  <c r="B224" i="3"/>
  <c r="B207" i="3"/>
  <c r="C222" i="14"/>
  <c r="E76" i="3"/>
  <c r="C100" i="14"/>
  <c r="E84" i="3"/>
  <c r="G84" i="3" s="1"/>
  <c r="I84" i="3" s="1"/>
  <c r="C125" i="14"/>
  <c r="E250" i="3"/>
  <c r="C205" i="14"/>
  <c r="B191" i="3"/>
  <c r="E125" i="3"/>
  <c r="G206" i="3"/>
  <c r="I206" i="3" s="1"/>
  <c r="E133" i="3"/>
  <c r="C214" i="14"/>
  <c r="B199" i="3"/>
  <c r="F140" i="3"/>
  <c r="C224" i="3"/>
  <c r="D222" i="14"/>
  <c r="C207" i="3"/>
  <c r="F108" i="3"/>
  <c r="C240" i="3"/>
  <c r="D150" i="14"/>
  <c r="F76" i="3"/>
  <c r="D100" i="14"/>
  <c r="F43" i="3"/>
  <c r="D47" i="14"/>
  <c r="C185" i="3"/>
  <c r="G50" i="3"/>
  <c r="I50" i="3" s="1"/>
  <c r="F60" i="3"/>
  <c r="D84" i="14"/>
  <c r="C159" i="3"/>
  <c r="F125" i="3"/>
  <c r="C191" i="3"/>
  <c r="D205" i="14"/>
  <c r="E51" i="3"/>
  <c r="C38" i="14"/>
  <c r="B178" i="3"/>
  <c r="G158" i="3"/>
  <c r="I158" i="3" s="1"/>
  <c r="C84" i="14"/>
  <c r="E60" i="3"/>
  <c r="G60" i="3" s="1"/>
  <c r="I60" i="3" s="1"/>
  <c r="B159" i="3"/>
  <c r="F100" i="3"/>
  <c r="C232" i="3"/>
  <c r="D142" i="14"/>
  <c r="E9" i="3"/>
  <c r="G9" i="3" s="1"/>
  <c r="I9" i="3" s="1"/>
  <c r="C29" i="14"/>
  <c r="G59" i="3"/>
  <c r="I59" i="3" s="1"/>
  <c r="G8" i="3"/>
  <c r="I8" i="3" s="1"/>
  <c r="E92" i="3"/>
  <c r="B215" i="3"/>
  <c r="C134" i="14"/>
  <c r="E100" i="3"/>
  <c r="B232" i="3"/>
  <c r="G232" i="3" s="1"/>
  <c r="I232" i="3" s="1"/>
  <c r="C142" i="14"/>
  <c r="G91" i="3"/>
  <c r="I91" i="3" s="1"/>
  <c r="F68" i="3"/>
  <c r="D92" i="14"/>
  <c r="E43" i="3"/>
  <c r="C47" i="14"/>
  <c r="B185" i="3"/>
  <c r="G67" i="3"/>
  <c r="I67" i="3" s="1"/>
  <c r="G99" i="3"/>
  <c r="I99" i="3" s="1"/>
  <c r="G214" i="3"/>
  <c r="I214" i="3" s="1"/>
  <c r="F92" i="3"/>
  <c r="D134" i="14"/>
  <c r="C215" i="3"/>
  <c r="F84" i="3"/>
  <c r="D125" i="14"/>
  <c r="F250" i="3"/>
  <c r="D38" i="14"/>
  <c r="F51" i="3"/>
  <c r="C178" i="3"/>
  <c r="G107" i="3"/>
  <c r="I107" i="3" s="1"/>
  <c r="G124" i="3"/>
  <c r="I124" i="3" s="1"/>
  <c r="G75" i="3"/>
  <c r="I75" i="3" s="1"/>
  <c r="G231" i="3"/>
  <c r="I231" i="3" s="1"/>
  <c r="E238" i="3"/>
  <c r="G237" i="3"/>
  <c r="I237" i="3" s="1"/>
  <c r="G164" i="3"/>
  <c r="I164" i="3" s="1"/>
  <c r="E165" i="3"/>
  <c r="AH5" i="7"/>
  <c r="AI5" i="7"/>
  <c r="AH8" i="7"/>
  <c r="AI8" i="7"/>
  <c r="AH9" i="7"/>
  <c r="AI9" i="7"/>
  <c r="AH7" i="7"/>
  <c r="AI7" i="7"/>
  <c r="AH6" i="7"/>
  <c r="AI6" i="7"/>
  <c r="AI3" i="7"/>
  <c r="G41" i="13"/>
  <c r="D197" i="14" s="1"/>
  <c r="AI4" i="7"/>
  <c r="O9" i="11"/>
  <c r="G9" i="13"/>
  <c r="D161" i="14" s="1"/>
  <c r="G33" i="13"/>
  <c r="D188" i="14" s="1"/>
  <c r="G49" i="13"/>
  <c r="E9" i="11"/>
  <c r="J9" i="11"/>
  <c r="I9" i="6"/>
  <c r="K9" i="6"/>
  <c r="J9" i="6"/>
  <c r="H9" i="6"/>
  <c r="G58" i="13" s="1"/>
  <c r="AK6" i="7"/>
  <c r="AK5" i="7"/>
  <c r="AK7" i="7"/>
  <c r="AK8" i="7"/>
  <c r="AK9" i="7"/>
  <c r="AK10" i="7"/>
  <c r="AK11" i="7"/>
  <c r="N9" i="11"/>
  <c r="I9" i="11"/>
  <c r="AH3" i="7"/>
  <c r="D9" i="11"/>
  <c r="AH4" i="7"/>
  <c r="F41" i="13"/>
  <c r="C197" i="14" s="1"/>
  <c r="F9" i="13"/>
  <c r="C161" i="14" s="1"/>
  <c r="F33" i="13"/>
  <c r="C188" i="14" s="1"/>
  <c r="F49" i="13"/>
  <c r="G10" i="6"/>
  <c r="E10" i="6"/>
  <c r="AH10" i="7"/>
  <c r="E24" i="12"/>
  <c r="D24" i="12"/>
  <c r="B25" i="12"/>
  <c r="I24" i="12"/>
  <c r="G25" i="12"/>
  <c r="J24" i="12"/>
  <c r="O24" i="12"/>
  <c r="N24" i="12"/>
  <c r="L25" i="12"/>
  <c r="E8" i="12"/>
  <c r="B9" i="12"/>
  <c r="D8" i="12"/>
  <c r="O8" i="12"/>
  <c r="N8" i="12"/>
  <c r="L9" i="12"/>
  <c r="L17" i="12"/>
  <c r="O16" i="12"/>
  <c r="N16" i="12"/>
  <c r="J16" i="12"/>
  <c r="D118" i="14" s="1"/>
  <c r="I16" i="12"/>
  <c r="C118" i="14" s="1"/>
  <c r="G17" i="12"/>
  <c r="E13" i="7"/>
  <c r="D16" i="12"/>
  <c r="E16" i="12"/>
  <c r="B17" i="12"/>
  <c r="J8" i="12"/>
  <c r="D110" i="14" s="1"/>
  <c r="G9" i="12"/>
  <c r="I8" i="12"/>
  <c r="C110" i="14" s="1"/>
  <c r="D65" i="13"/>
  <c r="B66" i="13"/>
  <c r="D66" i="13" s="1"/>
  <c r="G64" i="13"/>
  <c r="F64" i="13"/>
  <c r="F57" i="13"/>
  <c r="G57" i="13"/>
  <c r="B80" i="13"/>
  <c r="D79" i="13"/>
  <c r="G71" i="13"/>
  <c r="D231" i="14" s="1"/>
  <c r="F71" i="13"/>
  <c r="C231" i="14" s="1"/>
  <c r="G78" i="13"/>
  <c r="D239" i="14" s="1"/>
  <c r="F78" i="13"/>
  <c r="C239" i="14" s="1"/>
  <c r="B73" i="13"/>
  <c r="D72" i="13"/>
  <c r="AQ14" i="7"/>
  <c r="AP13" i="7"/>
  <c r="AL14" i="7"/>
  <c r="AK13" i="7"/>
  <c r="AG13" i="7"/>
  <c r="AF12" i="7"/>
  <c r="AH12" i="7" s="1"/>
  <c r="AI11" i="7"/>
  <c r="AD12" i="7"/>
  <c r="AB14" i="7"/>
  <c r="AA13" i="7"/>
  <c r="AC13" i="7" s="1"/>
  <c r="W13" i="7"/>
  <c r="V12" i="7"/>
  <c r="X12" i="7" s="1"/>
  <c r="Y11" i="7"/>
  <c r="R13" i="7"/>
  <c r="Q12" i="7"/>
  <c r="S12" i="7" s="1"/>
  <c r="T11" i="7"/>
  <c r="O12" i="7"/>
  <c r="M14" i="7"/>
  <c r="L13" i="7"/>
  <c r="N13" i="7" s="1"/>
  <c r="H14" i="7"/>
  <c r="G13" i="7"/>
  <c r="I13" i="7" s="1"/>
  <c r="J12" i="7"/>
  <c r="B14" i="7"/>
  <c r="D14" i="7" s="1"/>
  <c r="C15" i="7"/>
  <c r="C24" i="6"/>
  <c r="A25" i="6"/>
  <c r="D24" i="6"/>
  <c r="G199" i="3" l="1"/>
  <c r="I199" i="3" s="1"/>
  <c r="G133" i="3"/>
  <c r="I133" i="3" s="1"/>
  <c r="G92" i="3"/>
  <c r="I92" i="3" s="1"/>
  <c r="G159" i="3"/>
  <c r="I159" i="3" s="1"/>
  <c r="G250" i="3"/>
  <c r="G51" i="3"/>
  <c r="I51" i="3" s="1"/>
  <c r="G125" i="3"/>
  <c r="I125" i="3" s="1"/>
  <c r="G68" i="3"/>
  <c r="I68" i="3" s="1"/>
  <c r="G43" i="3"/>
  <c r="I43" i="3" s="1"/>
  <c r="G191" i="3"/>
  <c r="I191" i="3" s="1"/>
  <c r="C223" i="14"/>
  <c r="B208" i="3"/>
  <c r="B225" i="3"/>
  <c r="E141" i="3"/>
  <c r="F69" i="3"/>
  <c r="D93" i="14"/>
  <c r="E109" i="3"/>
  <c r="B241" i="3"/>
  <c r="C151" i="14"/>
  <c r="C30" i="14"/>
  <c r="E10" i="3"/>
  <c r="D30" i="14"/>
  <c r="F10" i="3"/>
  <c r="G215" i="3"/>
  <c r="I215" i="3" s="1"/>
  <c r="C208" i="3"/>
  <c r="C225" i="3"/>
  <c r="D223" i="14"/>
  <c r="F141" i="3"/>
  <c r="E69" i="3"/>
  <c r="C93" i="14"/>
  <c r="F109" i="3"/>
  <c r="C241" i="3"/>
  <c r="D151" i="14"/>
  <c r="D206" i="14"/>
  <c r="F126" i="3"/>
  <c r="C192" i="3"/>
  <c r="G207" i="3"/>
  <c r="I207" i="3" s="1"/>
  <c r="E93" i="3"/>
  <c r="B216" i="3"/>
  <c r="C135" i="14"/>
  <c r="F251" i="3"/>
  <c r="F85" i="3"/>
  <c r="D126" i="14"/>
  <c r="C39" i="14"/>
  <c r="E52" i="3"/>
  <c r="B179" i="3"/>
  <c r="G224" i="3"/>
  <c r="I224" i="3" s="1"/>
  <c r="F93" i="3"/>
  <c r="C216" i="3"/>
  <c r="D135" i="14"/>
  <c r="C206" i="14"/>
  <c r="B192" i="3"/>
  <c r="E126" i="3"/>
  <c r="E44" i="3"/>
  <c r="G44" i="3" s="1"/>
  <c r="I44" i="3" s="1"/>
  <c r="C48" i="14"/>
  <c r="B186" i="3"/>
  <c r="D216" i="14"/>
  <c r="F135" i="3"/>
  <c r="C201" i="3"/>
  <c r="G140" i="3"/>
  <c r="I140" i="3" s="1"/>
  <c r="C85" i="14"/>
  <c r="E114" i="3"/>
  <c r="E61" i="3"/>
  <c r="G61" i="3" s="1"/>
  <c r="I61" i="3" s="1"/>
  <c r="B160" i="3"/>
  <c r="E85" i="3"/>
  <c r="E251" i="3"/>
  <c r="C126" i="14"/>
  <c r="F44" i="3"/>
  <c r="D48" i="14"/>
  <c r="C186" i="3"/>
  <c r="D215" i="14"/>
  <c r="C200" i="3"/>
  <c r="F134" i="3"/>
  <c r="E101" i="3"/>
  <c r="B233" i="3"/>
  <c r="C143" i="14"/>
  <c r="F61" i="3"/>
  <c r="F114" i="3"/>
  <c r="D85" i="14"/>
  <c r="C160" i="3"/>
  <c r="E77" i="3"/>
  <c r="G77" i="3" s="1"/>
  <c r="I77" i="3" s="1"/>
  <c r="C101" i="14"/>
  <c r="G185" i="3"/>
  <c r="I185" i="3" s="1"/>
  <c r="G100" i="3"/>
  <c r="I100" i="3" s="1"/>
  <c r="G178" i="3"/>
  <c r="I178" i="3" s="1"/>
  <c r="C215" i="14"/>
  <c r="B200" i="3"/>
  <c r="E134" i="3"/>
  <c r="F101" i="3"/>
  <c r="C233" i="3"/>
  <c r="D143" i="14"/>
  <c r="F77" i="3"/>
  <c r="D101" i="14"/>
  <c r="D39" i="14"/>
  <c r="F52" i="3"/>
  <c r="C179" i="3"/>
  <c r="G76" i="3"/>
  <c r="I76" i="3" s="1"/>
  <c r="G238" i="3"/>
  <c r="I238" i="3" s="1"/>
  <c r="E239" i="3"/>
  <c r="G165" i="3"/>
  <c r="I165" i="3" s="1"/>
  <c r="E166" i="3"/>
  <c r="G166" i="3" s="1"/>
  <c r="I166" i="3" s="1"/>
  <c r="AM6" i="7"/>
  <c r="AN6" i="7"/>
  <c r="F58" i="13"/>
  <c r="AM10" i="7"/>
  <c r="AN10" i="7"/>
  <c r="AM9" i="7"/>
  <c r="AN9" i="7"/>
  <c r="N10" i="11"/>
  <c r="AM4" i="7"/>
  <c r="AM3" i="7"/>
  <c r="D10" i="11"/>
  <c r="I10" i="11"/>
  <c r="F42" i="13"/>
  <c r="C198" i="14" s="1"/>
  <c r="F50" i="13"/>
  <c r="F10" i="13"/>
  <c r="C162" i="14" s="1"/>
  <c r="F34" i="13"/>
  <c r="C189" i="14" s="1"/>
  <c r="AM8" i="7"/>
  <c r="AN8" i="7"/>
  <c r="AM7" i="7"/>
  <c r="AN7" i="7"/>
  <c r="G50" i="13"/>
  <c r="G42" i="13"/>
  <c r="D198" i="14" s="1"/>
  <c r="G10" i="13"/>
  <c r="D162" i="14" s="1"/>
  <c r="J10" i="11"/>
  <c r="E10" i="11"/>
  <c r="O10" i="11"/>
  <c r="G34" i="13"/>
  <c r="D189" i="14" s="1"/>
  <c r="AN3" i="7"/>
  <c r="AN4" i="7"/>
  <c r="AM11" i="7"/>
  <c r="AN11" i="7"/>
  <c r="AM13" i="7"/>
  <c r="AN12" i="7"/>
  <c r="K10" i="6"/>
  <c r="AP5" i="7"/>
  <c r="J10" i="6"/>
  <c r="I10" i="6"/>
  <c r="AP6" i="7"/>
  <c r="H10" i="6"/>
  <c r="AP7" i="7"/>
  <c r="AP8" i="7"/>
  <c r="AP9" i="7"/>
  <c r="AP10" i="7"/>
  <c r="AP11" i="7"/>
  <c r="AP12" i="7"/>
  <c r="AM5" i="7"/>
  <c r="AN5" i="7"/>
  <c r="AM12" i="7"/>
  <c r="L18" i="12"/>
  <c r="O17" i="12"/>
  <c r="N17" i="12"/>
  <c r="N9" i="12"/>
  <c r="L10" i="12"/>
  <c r="O9" i="12"/>
  <c r="G18" i="12"/>
  <c r="J17" i="12"/>
  <c r="D119" i="14" s="1"/>
  <c r="I17" i="12"/>
  <c r="C119" i="14" s="1"/>
  <c r="J25" i="12"/>
  <c r="I25" i="12"/>
  <c r="G26" i="12"/>
  <c r="G10" i="12"/>
  <c r="I9" i="12"/>
  <c r="C111" i="14" s="1"/>
  <c r="J9" i="12"/>
  <c r="D111" i="14" s="1"/>
  <c r="D9" i="12"/>
  <c r="E9" i="12"/>
  <c r="B10" i="12"/>
  <c r="E25" i="12"/>
  <c r="B26" i="12"/>
  <c r="D25" i="12"/>
  <c r="E17" i="12"/>
  <c r="D17" i="12"/>
  <c r="B18" i="12"/>
  <c r="N25" i="12"/>
  <c r="L26" i="12"/>
  <c r="O25" i="12"/>
  <c r="D73" i="13"/>
  <c r="B74" i="13"/>
  <c r="D74" i="13" s="1"/>
  <c r="G72" i="13"/>
  <c r="D232" i="14" s="1"/>
  <c r="F72" i="13"/>
  <c r="C232" i="14" s="1"/>
  <c r="G79" i="13"/>
  <c r="D240" i="14" s="1"/>
  <c r="F79" i="13"/>
  <c r="C240" i="14" s="1"/>
  <c r="G66" i="13"/>
  <c r="F66" i="13"/>
  <c r="B81" i="13"/>
  <c r="D80" i="13"/>
  <c r="F65" i="13"/>
  <c r="G65" i="13"/>
  <c r="AQ15" i="7"/>
  <c r="AP14" i="7"/>
  <c r="AS13" i="7"/>
  <c r="AL15" i="7"/>
  <c r="AK14" i="7"/>
  <c r="AM14" i="7" s="1"/>
  <c r="AN13" i="7"/>
  <c r="AF13" i="7"/>
  <c r="AH13" i="7" s="1"/>
  <c r="AG14" i="7"/>
  <c r="AI12" i="7"/>
  <c r="AB15" i="7"/>
  <c r="AA14" i="7"/>
  <c r="AC14" i="7" s="1"/>
  <c r="AD13" i="7"/>
  <c r="Y12" i="7"/>
  <c r="V13" i="7"/>
  <c r="X13" i="7" s="1"/>
  <c r="W14" i="7"/>
  <c r="T12" i="7"/>
  <c r="Q13" i="7"/>
  <c r="S13" i="7" s="1"/>
  <c r="R14" i="7"/>
  <c r="M15" i="7"/>
  <c r="L14" i="7"/>
  <c r="N14" i="7" s="1"/>
  <c r="O13" i="7"/>
  <c r="H15" i="7"/>
  <c r="G14" i="7"/>
  <c r="I14" i="7" s="1"/>
  <c r="J13" i="7"/>
  <c r="B15" i="7"/>
  <c r="D15" i="7" s="1"/>
  <c r="C16" i="7"/>
  <c r="E14" i="7"/>
  <c r="C25" i="6"/>
  <c r="A26" i="6"/>
  <c r="D25" i="6"/>
  <c r="G192" i="3" l="1"/>
  <c r="I192" i="3" s="1"/>
  <c r="G141" i="3"/>
  <c r="I141" i="3" s="1"/>
  <c r="G126" i="3"/>
  <c r="I126" i="3" s="1"/>
  <c r="G200" i="3"/>
  <c r="I200" i="3" s="1"/>
  <c r="G85" i="3"/>
  <c r="I85" i="3" s="1"/>
  <c r="G134" i="3"/>
  <c r="I134" i="3" s="1"/>
  <c r="G251" i="3"/>
  <c r="G186" i="3"/>
  <c r="I186" i="3" s="1"/>
  <c r="C102" i="14"/>
  <c r="E78" i="3"/>
  <c r="F127" i="3"/>
  <c r="D207" i="14"/>
  <c r="C193" i="3"/>
  <c r="G101" i="3"/>
  <c r="I101" i="3" s="1"/>
  <c r="C136" i="14"/>
  <c r="E94" i="3"/>
  <c r="B217" i="3"/>
  <c r="C40" i="14"/>
  <c r="E53" i="3"/>
  <c r="B180" i="3"/>
  <c r="G109" i="3"/>
  <c r="I109" i="3" s="1"/>
  <c r="C225" i="14"/>
  <c r="E143" i="3"/>
  <c r="B227" i="3"/>
  <c r="B210" i="3"/>
  <c r="D152" i="14"/>
  <c r="C242" i="3"/>
  <c r="F110" i="3"/>
  <c r="D102" i="14"/>
  <c r="F78" i="3"/>
  <c r="E252" i="3"/>
  <c r="C127" i="14"/>
  <c r="E86" i="3"/>
  <c r="C144" i="14"/>
  <c r="E102" i="3"/>
  <c r="B234" i="3"/>
  <c r="C31" i="14"/>
  <c r="E11" i="3"/>
  <c r="C216" i="14"/>
  <c r="B201" i="3"/>
  <c r="G201" i="3" s="1"/>
  <c r="I201" i="3" s="1"/>
  <c r="E135" i="3"/>
  <c r="G135" i="3" s="1"/>
  <c r="I135" i="3" s="1"/>
  <c r="G160" i="3"/>
  <c r="I160" i="3" s="1"/>
  <c r="F143" i="3"/>
  <c r="D225" i="14"/>
  <c r="C227" i="3"/>
  <c r="C210" i="3"/>
  <c r="D127" i="14"/>
  <c r="F252" i="3"/>
  <c r="F86" i="3"/>
  <c r="D144" i="14"/>
  <c r="F102" i="3"/>
  <c r="C234" i="3"/>
  <c r="D49" i="14"/>
  <c r="F45" i="3"/>
  <c r="C187" i="3"/>
  <c r="G216" i="3"/>
  <c r="I216" i="3" s="1"/>
  <c r="C152" i="14"/>
  <c r="E110" i="3"/>
  <c r="B242" i="3"/>
  <c r="D86" i="14"/>
  <c r="F115" i="3"/>
  <c r="F62" i="3"/>
  <c r="C161" i="3"/>
  <c r="D31" i="14"/>
  <c r="F11" i="3"/>
  <c r="G114" i="3"/>
  <c r="I114" i="3" s="1"/>
  <c r="G179" i="3"/>
  <c r="I179" i="3" s="1"/>
  <c r="G93" i="3"/>
  <c r="I93" i="3" s="1"/>
  <c r="C86" i="14"/>
  <c r="E115" i="3"/>
  <c r="G115" i="3" s="1"/>
  <c r="I115" i="3" s="1"/>
  <c r="E62" i="3"/>
  <c r="B161" i="3"/>
  <c r="D40" i="14"/>
  <c r="F53" i="3"/>
  <c r="C180" i="3"/>
  <c r="C49" i="14"/>
  <c r="E45" i="3"/>
  <c r="B187" i="3"/>
  <c r="G187" i="3" s="1"/>
  <c r="I187" i="3" s="1"/>
  <c r="G52" i="3"/>
  <c r="I52" i="3" s="1"/>
  <c r="G69" i="3"/>
  <c r="I69" i="3" s="1"/>
  <c r="G10" i="3"/>
  <c r="I10" i="3" s="1"/>
  <c r="G225" i="3"/>
  <c r="I225" i="3" s="1"/>
  <c r="D224" i="14"/>
  <c r="C209" i="3"/>
  <c r="C226" i="3"/>
  <c r="F142" i="3"/>
  <c r="E70" i="3"/>
  <c r="C94" i="14"/>
  <c r="G208" i="3"/>
  <c r="I208" i="3" s="1"/>
  <c r="C224" i="14"/>
  <c r="B209" i="3"/>
  <c r="E142" i="3"/>
  <c r="B226" i="3"/>
  <c r="G226" i="3" s="1"/>
  <c r="I226" i="3" s="1"/>
  <c r="D94" i="14"/>
  <c r="F70" i="3"/>
  <c r="D136" i="14"/>
  <c r="C217" i="3"/>
  <c r="F94" i="3"/>
  <c r="C207" i="14"/>
  <c r="E127" i="3"/>
  <c r="B193" i="3"/>
  <c r="G193" i="3" s="1"/>
  <c r="I193" i="3" s="1"/>
  <c r="G233" i="3"/>
  <c r="I233" i="3" s="1"/>
  <c r="E240" i="3"/>
  <c r="G239" i="3"/>
  <c r="I239" i="3" s="1"/>
  <c r="AS6" i="7"/>
  <c r="AR12" i="7"/>
  <c r="AS12" i="7"/>
  <c r="AR6" i="7"/>
  <c r="AR3" i="7"/>
  <c r="AR4" i="7"/>
  <c r="AV4" i="7"/>
  <c r="AR11" i="7"/>
  <c r="AS11" i="7"/>
  <c r="AR5" i="7"/>
  <c r="AR14" i="7"/>
  <c r="AR9" i="7"/>
  <c r="AS9" i="7"/>
  <c r="AR8" i="7"/>
  <c r="AS8" i="7"/>
  <c r="AR13" i="7"/>
  <c r="AR7" i="7"/>
  <c r="AS7" i="7"/>
  <c r="AR10" i="7"/>
  <c r="AS10" i="7"/>
  <c r="AS5" i="7"/>
  <c r="AS3" i="7"/>
  <c r="AW4" i="7"/>
  <c r="AS4" i="7"/>
  <c r="E18" i="12"/>
  <c r="D18" i="12"/>
  <c r="I18" i="12"/>
  <c r="C120" i="14" s="1"/>
  <c r="J18" i="12"/>
  <c r="D120" i="14" s="1"/>
  <c r="J10" i="12"/>
  <c r="D112" i="14" s="1"/>
  <c r="I10" i="12"/>
  <c r="C112" i="14" s="1"/>
  <c r="N10" i="12"/>
  <c r="O10" i="12"/>
  <c r="D26" i="12"/>
  <c r="E26" i="12"/>
  <c r="J26" i="12"/>
  <c r="I26" i="12"/>
  <c r="N26" i="12"/>
  <c r="O26" i="12"/>
  <c r="E10" i="12"/>
  <c r="D10" i="12"/>
  <c r="E15" i="7"/>
  <c r="O18" i="12"/>
  <c r="N18" i="12"/>
  <c r="F80" i="13"/>
  <c r="C241" i="14" s="1"/>
  <c r="G80" i="13"/>
  <c r="D241" i="14" s="1"/>
  <c r="G74" i="13"/>
  <c r="D234" i="14" s="1"/>
  <c r="F74" i="13"/>
  <c r="C234" i="14" s="1"/>
  <c r="B82" i="13"/>
  <c r="D82" i="13" s="1"/>
  <c r="D81" i="13"/>
  <c r="G73" i="13"/>
  <c r="D233" i="14" s="1"/>
  <c r="F73" i="13"/>
  <c r="C233" i="14" s="1"/>
  <c r="AQ16" i="7"/>
  <c r="AP15" i="7"/>
  <c r="AR15" i="7" s="1"/>
  <c r="AS14" i="7"/>
  <c r="AK15" i="7"/>
  <c r="AM15" i="7" s="1"/>
  <c r="AL16" i="7"/>
  <c r="AN14" i="7"/>
  <c r="AG15" i="7"/>
  <c r="AF14" i="7"/>
  <c r="AH14" i="7" s="1"/>
  <c r="AI13" i="7"/>
  <c r="AB16" i="7"/>
  <c r="AA15" i="7"/>
  <c r="AC15" i="7" s="1"/>
  <c r="AD14" i="7"/>
  <c r="Y13" i="7"/>
  <c r="W15" i="7"/>
  <c r="V14" i="7"/>
  <c r="X14" i="7" s="1"/>
  <c r="R15" i="7"/>
  <c r="Q14" i="7"/>
  <c r="S14" i="7" s="1"/>
  <c r="T13" i="7"/>
  <c r="M16" i="7"/>
  <c r="L15" i="7"/>
  <c r="N15" i="7" s="1"/>
  <c r="O14" i="7"/>
  <c r="J14" i="7"/>
  <c r="H16" i="7"/>
  <c r="G15" i="7"/>
  <c r="I15" i="7" s="1"/>
  <c r="C17" i="7"/>
  <c r="B16" i="7"/>
  <c r="D16" i="7" s="1"/>
  <c r="D26" i="6"/>
  <c r="C26" i="6"/>
  <c r="G127" i="3" l="1"/>
  <c r="I127" i="3" s="1"/>
  <c r="G11" i="3"/>
  <c r="I11" i="3" s="1"/>
  <c r="G45" i="3"/>
  <c r="I45" i="3" s="1"/>
  <c r="G142" i="3"/>
  <c r="I142" i="3" s="1"/>
  <c r="G180" i="3"/>
  <c r="I180" i="3" s="1"/>
  <c r="G94" i="3"/>
  <c r="I94" i="3" s="1"/>
  <c r="G62" i="3"/>
  <c r="I62" i="3" s="1"/>
  <c r="G252" i="3"/>
  <c r="G143" i="3"/>
  <c r="I143" i="3" s="1"/>
  <c r="C87" i="14"/>
  <c r="E116" i="3"/>
  <c r="E63" i="3"/>
  <c r="B162" i="3"/>
  <c r="D137" i="14"/>
  <c r="F95" i="3"/>
  <c r="C218" i="3"/>
  <c r="G161" i="3"/>
  <c r="I161" i="3" s="1"/>
  <c r="G227" i="3"/>
  <c r="I227" i="3" s="1"/>
  <c r="D87" i="14"/>
  <c r="F116" i="3"/>
  <c r="F63" i="3"/>
  <c r="C162" i="3"/>
  <c r="C137" i="14"/>
  <c r="B218" i="3"/>
  <c r="G218" i="3" s="1"/>
  <c r="I218" i="3" s="1"/>
  <c r="E95" i="3"/>
  <c r="G95" i="3" s="1"/>
  <c r="I95" i="3" s="1"/>
  <c r="G70" i="3"/>
  <c r="I70" i="3" s="1"/>
  <c r="G234" i="3"/>
  <c r="I234" i="3" s="1"/>
  <c r="C153" i="14"/>
  <c r="B243" i="3"/>
  <c r="E111" i="3"/>
  <c r="G111" i="3" s="1"/>
  <c r="I111" i="3" s="1"/>
  <c r="C145" i="14"/>
  <c r="B235" i="3"/>
  <c r="E103" i="3"/>
  <c r="D128" i="14"/>
  <c r="F87" i="3"/>
  <c r="F253" i="3"/>
  <c r="G209" i="3"/>
  <c r="I209" i="3" s="1"/>
  <c r="G102" i="3"/>
  <c r="I102" i="3" s="1"/>
  <c r="G53" i="3"/>
  <c r="I53" i="3" s="1"/>
  <c r="C235" i="3"/>
  <c r="D145" i="14"/>
  <c r="F103" i="3"/>
  <c r="D103" i="14"/>
  <c r="F79" i="3"/>
  <c r="C95" i="14"/>
  <c r="E71" i="3"/>
  <c r="G110" i="3"/>
  <c r="I110" i="3" s="1"/>
  <c r="G78" i="3"/>
  <c r="I78" i="3" s="1"/>
  <c r="C243" i="3"/>
  <c r="D153" i="14"/>
  <c r="F111" i="3"/>
  <c r="C128" i="14"/>
  <c r="E253" i="3"/>
  <c r="G253" i="3" s="1"/>
  <c r="E87" i="3"/>
  <c r="G87" i="3" s="1"/>
  <c r="I87" i="3" s="1"/>
  <c r="C103" i="14"/>
  <c r="E79" i="3"/>
  <c r="G79" i="3" s="1"/>
  <c r="I79" i="3" s="1"/>
  <c r="D95" i="14"/>
  <c r="F71" i="3"/>
  <c r="G86" i="3"/>
  <c r="I86" i="3" s="1"/>
  <c r="G210" i="3"/>
  <c r="I210" i="3" s="1"/>
  <c r="G217" i="3"/>
  <c r="I217" i="3" s="1"/>
  <c r="G240" i="3"/>
  <c r="I240" i="3" s="1"/>
  <c r="E241" i="3"/>
  <c r="G81" i="13"/>
  <c r="D242" i="14" s="1"/>
  <c r="F81" i="13"/>
  <c r="C242" i="14" s="1"/>
  <c r="G82" i="13"/>
  <c r="D243" i="14" s="1"/>
  <c r="F82" i="13"/>
  <c r="C243" i="14" s="1"/>
  <c r="AQ17" i="7"/>
  <c r="AP16" i="7"/>
  <c r="AR16" i="7" s="1"/>
  <c r="AS15" i="7"/>
  <c r="AL17" i="7"/>
  <c r="AK16" i="7"/>
  <c r="AM16" i="7" s="1"/>
  <c r="AN15" i="7"/>
  <c r="AI14" i="7"/>
  <c r="AG16" i="7"/>
  <c r="AF15" i="7"/>
  <c r="AH15" i="7" s="1"/>
  <c r="AB17" i="7"/>
  <c r="AA16" i="7"/>
  <c r="AC16" i="7" s="1"/>
  <c r="AD15" i="7"/>
  <c r="Y14" i="7"/>
  <c r="V15" i="7"/>
  <c r="X15" i="7" s="1"/>
  <c r="W16" i="7"/>
  <c r="T14" i="7"/>
  <c r="R16" i="7"/>
  <c r="Q15" i="7"/>
  <c r="S15" i="7" s="1"/>
  <c r="M17" i="7"/>
  <c r="L16" i="7"/>
  <c r="N16" i="7" s="1"/>
  <c r="O15" i="7"/>
  <c r="J15" i="7"/>
  <c r="H17" i="7"/>
  <c r="G16" i="7"/>
  <c r="I16" i="7" s="1"/>
  <c r="B17" i="7"/>
  <c r="D17" i="7" s="1"/>
  <c r="C18" i="7"/>
  <c r="E16" i="7"/>
  <c r="G71" i="3" l="1"/>
  <c r="I71" i="3" s="1"/>
  <c r="G103" i="3"/>
  <c r="I103" i="3" s="1"/>
  <c r="G162" i="3"/>
  <c r="I162" i="3" s="1"/>
  <c r="G63" i="3"/>
  <c r="I63" i="3" s="1"/>
  <c r="G116" i="3"/>
  <c r="I116" i="3" s="1"/>
  <c r="G235" i="3"/>
  <c r="I235" i="3" s="1"/>
  <c r="E242" i="3"/>
  <c r="G241" i="3"/>
  <c r="I241" i="3" s="1"/>
  <c r="E17" i="7"/>
  <c r="AQ18" i="7"/>
  <c r="AP17" i="7"/>
  <c r="AR17" i="7" s="1"/>
  <c r="AS16" i="7"/>
  <c r="AN16" i="7"/>
  <c r="AK17" i="7"/>
  <c r="AM17" i="7" s="1"/>
  <c r="AL18" i="7"/>
  <c r="AI15" i="7"/>
  <c r="AG17" i="7"/>
  <c r="AF16" i="7"/>
  <c r="AH16" i="7" s="1"/>
  <c r="AB18" i="7"/>
  <c r="AA17" i="7"/>
  <c r="AC17" i="7" s="1"/>
  <c r="AD16" i="7"/>
  <c r="W17" i="7"/>
  <c r="V16" i="7"/>
  <c r="X16" i="7" s="1"/>
  <c r="Y15" i="7"/>
  <c r="R17" i="7"/>
  <c r="Q16" i="7"/>
  <c r="S16" i="7" s="1"/>
  <c r="T15" i="7"/>
  <c r="M18" i="7"/>
  <c r="L17" i="7"/>
  <c r="N17" i="7" s="1"/>
  <c r="O16" i="7"/>
  <c r="H18" i="7"/>
  <c r="G17" i="7"/>
  <c r="I17" i="7" s="1"/>
  <c r="J16" i="7"/>
  <c r="B18" i="7"/>
  <c r="D18" i="7" s="1"/>
  <c r="C19" i="7"/>
  <c r="E18" i="7" l="1"/>
  <c r="E243" i="3"/>
  <c r="G243" i="3" s="1"/>
  <c r="I243" i="3" s="1"/>
  <c r="G242" i="3"/>
  <c r="I242" i="3" s="1"/>
  <c r="AQ19" i="7"/>
  <c r="AP18" i="7"/>
  <c r="AR18" i="7" s="1"/>
  <c r="AS17" i="7"/>
  <c r="AL19" i="7"/>
  <c r="AK18" i="7"/>
  <c r="AM18" i="7" s="1"/>
  <c r="AN17" i="7"/>
  <c r="AF17" i="7"/>
  <c r="AH17" i="7" s="1"/>
  <c r="AG18" i="7"/>
  <c r="AI16" i="7"/>
  <c r="AB19" i="7"/>
  <c r="AA18" i="7"/>
  <c r="AC18" i="7" s="1"/>
  <c r="AD17" i="7"/>
  <c r="W18" i="7"/>
  <c r="V17" i="7"/>
  <c r="X17" i="7" s="1"/>
  <c r="Y16" i="7"/>
  <c r="T16" i="7"/>
  <c r="Q17" i="7"/>
  <c r="S17" i="7" s="1"/>
  <c r="R18" i="7"/>
  <c r="O17" i="7"/>
  <c r="M19" i="7"/>
  <c r="L18" i="7"/>
  <c r="N18" i="7" s="1"/>
  <c r="H19" i="7"/>
  <c r="G18" i="7"/>
  <c r="I18" i="7" s="1"/>
  <c r="J17" i="7"/>
  <c r="B19" i="7"/>
  <c r="D19" i="7" s="1"/>
  <c r="C20" i="7"/>
  <c r="E19" i="7" l="1"/>
  <c r="AQ20" i="7"/>
  <c r="AP19" i="7"/>
  <c r="AR19" i="7" s="1"/>
  <c r="AS18" i="7"/>
  <c r="AK19" i="7"/>
  <c r="AM19" i="7" s="1"/>
  <c r="AL20" i="7"/>
  <c r="AN18" i="7"/>
  <c r="AG19" i="7"/>
  <c r="AF18" i="7"/>
  <c r="AH18" i="7" s="1"/>
  <c r="AI17" i="7"/>
  <c r="AD18" i="7"/>
  <c r="AB20" i="7"/>
  <c r="AA19" i="7"/>
  <c r="AC19" i="7" s="1"/>
  <c r="W19" i="7"/>
  <c r="V18" i="7"/>
  <c r="X18" i="7" s="1"/>
  <c r="Y17" i="7"/>
  <c r="T17" i="7"/>
  <c r="R19" i="7"/>
  <c r="Q18" i="7"/>
  <c r="S18" i="7" s="1"/>
  <c r="O18" i="7"/>
  <c r="M20" i="7"/>
  <c r="L19" i="7"/>
  <c r="N19" i="7" s="1"/>
  <c r="H20" i="7"/>
  <c r="G19" i="7"/>
  <c r="I19" i="7" s="1"/>
  <c r="J18" i="7"/>
  <c r="C21" i="7"/>
  <c r="B20" i="7"/>
  <c r="D20" i="7" s="1"/>
  <c r="E20" i="7" l="1"/>
  <c r="AQ21" i="7"/>
  <c r="AP20" i="7"/>
  <c r="AR20" i="7" s="1"/>
  <c r="AS19" i="7"/>
  <c r="AL21" i="7"/>
  <c r="AK20" i="7"/>
  <c r="AM20" i="7" s="1"/>
  <c r="AN19" i="7"/>
  <c r="AI18" i="7"/>
  <c r="AG20" i="7"/>
  <c r="AF19" i="7"/>
  <c r="AH19" i="7" s="1"/>
  <c r="AB21" i="7"/>
  <c r="AA20" i="7"/>
  <c r="AC20" i="7" s="1"/>
  <c r="AD19" i="7"/>
  <c r="Y18" i="7"/>
  <c r="V19" i="7"/>
  <c r="X19" i="7" s="1"/>
  <c r="W20" i="7"/>
  <c r="T18" i="7"/>
  <c r="Q19" i="7"/>
  <c r="S19" i="7" s="1"/>
  <c r="R20" i="7"/>
  <c r="M21" i="7"/>
  <c r="L20" i="7"/>
  <c r="N20" i="7" s="1"/>
  <c r="O19" i="7"/>
  <c r="J19" i="7"/>
  <c r="H21" i="7"/>
  <c r="G20" i="7"/>
  <c r="I20" i="7" s="1"/>
  <c r="C22" i="7"/>
  <c r="B21" i="7"/>
  <c r="D21" i="7" s="1"/>
  <c r="E21" i="7" l="1"/>
  <c r="AQ22" i="7"/>
  <c r="AP21" i="7"/>
  <c r="AR21" i="7" s="1"/>
  <c r="AS20" i="7"/>
  <c r="AN20" i="7"/>
  <c r="AK21" i="7"/>
  <c r="AM21" i="7" s="1"/>
  <c r="AL22" i="7"/>
  <c r="AG21" i="7"/>
  <c r="AF20" i="7"/>
  <c r="AH20" i="7" s="1"/>
  <c r="AI19" i="7"/>
  <c r="AB22" i="7"/>
  <c r="AA21" i="7"/>
  <c r="AC21" i="7" s="1"/>
  <c r="AD20" i="7"/>
  <c r="W21" i="7"/>
  <c r="V20" i="7"/>
  <c r="X20" i="7" s="1"/>
  <c r="Y19" i="7"/>
  <c r="R21" i="7"/>
  <c r="Q20" i="7"/>
  <c r="S20" i="7" s="1"/>
  <c r="T19" i="7"/>
  <c r="M22" i="7"/>
  <c r="L21" i="7"/>
  <c r="N21" i="7" s="1"/>
  <c r="O20" i="7"/>
  <c r="J20" i="7"/>
  <c r="H22" i="7"/>
  <c r="G21" i="7"/>
  <c r="I21" i="7" s="1"/>
  <c r="B22" i="7"/>
  <c r="D22" i="7" s="1"/>
  <c r="C23" i="7"/>
  <c r="E22" i="7" l="1"/>
  <c r="T20" i="7"/>
  <c r="AQ23" i="7"/>
  <c r="AP22" i="7"/>
  <c r="AR22" i="7" s="1"/>
  <c r="AS21" i="7"/>
  <c r="AL23" i="7"/>
  <c r="AK22" i="7"/>
  <c r="AM22" i="7" s="1"/>
  <c r="AN21" i="7"/>
  <c r="AF21" i="7"/>
  <c r="AH21" i="7" s="1"/>
  <c r="AG22" i="7"/>
  <c r="AI20" i="7"/>
  <c r="AB23" i="7"/>
  <c r="AA22" i="7"/>
  <c r="AC22" i="7" s="1"/>
  <c r="AD21" i="7"/>
  <c r="Y20" i="7"/>
  <c r="W22" i="7"/>
  <c r="V21" i="7"/>
  <c r="X21" i="7" s="1"/>
  <c r="Q21" i="7"/>
  <c r="S21" i="7" s="1"/>
  <c r="R22" i="7"/>
  <c r="M23" i="7"/>
  <c r="L22" i="7"/>
  <c r="N22" i="7" s="1"/>
  <c r="O21" i="7"/>
  <c r="H23" i="7"/>
  <c r="G22" i="7"/>
  <c r="I22" i="7" s="1"/>
  <c r="J21" i="7"/>
  <c r="B23" i="7"/>
  <c r="D23" i="7" s="1"/>
  <c r="C24" i="7"/>
  <c r="AS22" i="7" l="1"/>
  <c r="AQ24" i="7"/>
  <c r="AP23" i="7"/>
  <c r="AR23" i="7" s="1"/>
  <c r="AN22" i="7"/>
  <c r="AL24" i="7"/>
  <c r="AK23" i="7"/>
  <c r="AM23" i="7" s="1"/>
  <c r="AG23" i="7"/>
  <c r="AF22" i="7"/>
  <c r="AH22" i="7" s="1"/>
  <c r="AI21" i="7"/>
  <c r="AB24" i="7"/>
  <c r="AA23" i="7"/>
  <c r="AC23" i="7" s="1"/>
  <c r="AD22" i="7"/>
  <c r="W23" i="7"/>
  <c r="V22" i="7"/>
  <c r="X22" i="7" s="1"/>
  <c r="Y21" i="7"/>
  <c r="R23" i="7"/>
  <c r="Q22" i="7"/>
  <c r="S22" i="7" s="1"/>
  <c r="T21" i="7"/>
  <c r="M24" i="7"/>
  <c r="L23" i="7"/>
  <c r="N23" i="7" s="1"/>
  <c r="O22" i="7"/>
  <c r="J22" i="7"/>
  <c r="H24" i="7"/>
  <c r="G23" i="7"/>
  <c r="I23" i="7" s="1"/>
  <c r="B24" i="7"/>
  <c r="D24" i="7" s="1"/>
  <c r="C25" i="7"/>
  <c r="E23" i="7"/>
  <c r="AQ25" i="7" l="1"/>
  <c r="AP24" i="7"/>
  <c r="AR24" i="7" s="1"/>
  <c r="AS23" i="7"/>
  <c r="AL25" i="7"/>
  <c r="AK24" i="7"/>
  <c r="AM24" i="7" s="1"/>
  <c r="AN23" i="7"/>
  <c r="AI22" i="7"/>
  <c r="AG24" i="7"/>
  <c r="AF23" i="7"/>
  <c r="AH23" i="7" s="1"/>
  <c r="AB25" i="7"/>
  <c r="AA24" i="7"/>
  <c r="AC24" i="7" s="1"/>
  <c r="AD23" i="7"/>
  <c r="V23" i="7"/>
  <c r="X23" i="7" s="1"/>
  <c r="W24" i="7"/>
  <c r="Y22" i="7"/>
  <c r="Q23" i="7"/>
  <c r="S23" i="7" s="1"/>
  <c r="R24" i="7"/>
  <c r="T22" i="7"/>
  <c r="M25" i="7"/>
  <c r="L24" i="7"/>
  <c r="N24" i="7" s="1"/>
  <c r="O23" i="7"/>
  <c r="H25" i="7"/>
  <c r="G24" i="7"/>
  <c r="I24" i="7" s="1"/>
  <c r="J23" i="7"/>
  <c r="B25" i="7"/>
  <c r="D25" i="7" s="1"/>
  <c r="C26" i="7"/>
  <c r="E24" i="7"/>
  <c r="E25" i="7" l="1"/>
  <c r="AS24" i="7"/>
  <c r="AQ26" i="7"/>
  <c r="AP25" i="7"/>
  <c r="AR25" i="7" s="1"/>
  <c r="AN24" i="7"/>
  <c r="AL26" i="7"/>
  <c r="AK25" i="7"/>
  <c r="AM25" i="7" s="1"/>
  <c r="AG25" i="7"/>
  <c r="AF24" i="7"/>
  <c r="AH24" i="7" s="1"/>
  <c r="AI23" i="7"/>
  <c r="AB26" i="7"/>
  <c r="AA25" i="7"/>
  <c r="AC25" i="7" s="1"/>
  <c r="AD24" i="7"/>
  <c r="W25" i="7"/>
  <c r="V24" i="7"/>
  <c r="X24" i="7" s="1"/>
  <c r="Y23" i="7"/>
  <c r="R25" i="7"/>
  <c r="Q24" i="7"/>
  <c r="S24" i="7" s="1"/>
  <c r="T23" i="7"/>
  <c r="O24" i="7"/>
  <c r="M26" i="7"/>
  <c r="L25" i="7"/>
  <c r="N25" i="7" s="1"/>
  <c r="H26" i="7"/>
  <c r="G25" i="7"/>
  <c r="I25" i="7" s="1"/>
  <c r="J24" i="7"/>
  <c r="B26" i="7"/>
  <c r="D26" i="7" s="1"/>
  <c r="C27" i="7"/>
  <c r="E26" i="7" l="1"/>
  <c r="AQ27" i="7"/>
  <c r="AP26" i="7"/>
  <c r="AR26" i="7" s="1"/>
  <c r="AS25" i="7"/>
  <c r="AL27" i="7"/>
  <c r="AK26" i="7"/>
  <c r="AM26" i="7" s="1"/>
  <c r="AN25" i="7"/>
  <c r="AF25" i="7"/>
  <c r="AH25" i="7" s="1"/>
  <c r="AG26" i="7"/>
  <c r="AI24" i="7"/>
  <c r="AB27" i="7"/>
  <c r="AA26" i="7"/>
  <c r="AC26" i="7" s="1"/>
  <c r="AD25" i="7"/>
  <c r="Y24" i="7"/>
  <c r="W26" i="7"/>
  <c r="V25" i="7"/>
  <c r="X25" i="7" s="1"/>
  <c r="Q25" i="7"/>
  <c r="S25" i="7" s="1"/>
  <c r="R26" i="7"/>
  <c r="T24" i="7"/>
  <c r="M27" i="7"/>
  <c r="L26" i="7"/>
  <c r="N26" i="7" s="1"/>
  <c r="O25" i="7"/>
  <c r="H27" i="7"/>
  <c r="G26" i="7"/>
  <c r="I26" i="7" s="1"/>
  <c r="J25" i="7"/>
  <c r="B27" i="7"/>
  <c r="D27" i="7" s="1"/>
  <c r="E27" i="7"/>
  <c r="C28" i="7"/>
  <c r="AS26" i="7" l="1"/>
  <c r="AQ28" i="7"/>
  <c r="AP27" i="7"/>
  <c r="AR27" i="7" s="1"/>
  <c r="AK27" i="7"/>
  <c r="AM27" i="7" s="1"/>
  <c r="AL28" i="7"/>
  <c r="AN26" i="7"/>
  <c r="AG27" i="7"/>
  <c r="AF26" i="7"/>
  <c r="AH26" i="7" s="1"/>
  <c r="AI25" i="7"/>
  <c r="AB28" i="7"/>
  <c r="AA27" i="7"/>
  <c r="AC27" i="7" s="1"/>
  <c r="AD26" i="7"/>
  <c r="W27" i="7"/>
  <c r="V26" i="7"/>
  <c r="X26" i="7" s="1"/>
  <c r="Y25" i="7"/>
  <c r="R27" i="7"/>
  <c r="Q26" i="7"/>
  <c r="S26" i="7" s="1"/>
  <c r="T25" i="7"/>
  <c r="M28" i="7"/>
  <c r="L27" i="7"/>
  <c r="N27" i="7" s="1"/>
  <c r="O26" i="7"/>
  <c r="J26" i="7"/>
  <c r="H28" i="7"/>
  <c r="G27" i="7"/>
  <c r="I27" i="7" s="1"/>
  <c r="C29" i="7"/>
  <c r="B28" i="7"/>
  <c r="D28" i="7" s="1"/>
  <c r="AQ29" i="7" l="1"/>
  <c r="AP28" i="7"/>
  <c r="AR28" i="7" s="1"/>
  <c r="AS27" i="7"/>
  <c r="AL29" i="7"/>
  <c r="AK28" i="7"/>
  <c r="AM28" i="7" s="1"/>
  <c r="AN27" i="7"/>
  <c r="AI26" i="7"/>
  <c r="AF27" i="7"/>
  <c r="AH27" i="7" s="1"/>
  <c r="AG28" i="7"/>
  <c r="AB29" i="7"/>
  <c r="AA28" i="7"/>
  <c r="AC28" i="7" s="1"/>
  <c r="AD27" i="7"/>
  <c r="Y26" i="7"/>
  <c r="V27" i="7"/>
  <c r="X27" i="7" s="1"/>
  <c r="W28" i="7"/>
  <c r="T26" i="7"/>
  <c r="Q27" i="7"/>
  <c r="S27" i="7" s="1"/>
  <c r="R28" i="7"/>
  <c r="M29" i="7"/>
  <c r="L28" i="7"/>
  <c r="N28" i="7" s="1"/>
  <c r="O27" i="7"/>
  <c r="H29" i="7"/>
  <c r="G28" i="7"/>
  <c r="I28" i="7" s="1"/>
  <c r="J27" i="7"/>
  <c r="E28" i="7"/>
  <c r="B29" i="7"/>
  <c r="D29" i="7" s="1"/>
  <c r="C30" i="7"/>
  <c r="E29" i="7"/>
  <c r="AS28" i="7" l="1"/>
  <c r="AQ30" i="7"/>
  <c r="AP29" i="7"/>
  <c r="AR29" i="7" s="1"/>
  <c r="AK29" i="7"/>
  <c r="AM29" i="7" s="1"/>
  <c r="AL30" i="7"/>
  <c r="AN28" i="7"/>
  <c r="AG29" i="7"/>
  <c r="AF28" i="7"/>
  <c r="AH28" i="7" s="1"/>
  <c r="AI27" i="7"/>
  <c r="AB30" i="7"/>
  <c r="AA29" i="7"/>
  <c r="AC29" i="7" s="1"/>
  <c r="AD28" i="7"/>
  <c r="W29" i="7"/>
  <c r="V28" i="7"/>
  <c r="X28" i="7" s="1"/>
  <c r="Y27" i="7"/>
  <c r="R29" i="7"/>
  <c r="Q28" i="7"/>
  <c r="S28" i="7" s="1"/>
  <c r="T27" i="7"/>
  <c r="M30" i="7"/>
  <c r="L29" i="7"/>
  <c r="N29" i="7" s="1"/>
  <c r="O28" i="7"/>
  <c r="H30" i="7"/>
  <c r="G29" i="7"/>
  <c r="I29" i="7" s="1"/>
  <c r="J28" i="7"/>
  <c r="C31" i="7"/>
  <c r="B30" i="7"/>
  <c r="D30" i="7" s="1"/>
  <c r="AQ31" i="7" l="1"/>
  <c r="AP30" i="7"/>
  <c r="AR30" i="7" s="1"/>
  <c r="AS29" i="7"/>
  <c r="AL31" i="7"/>
  <c r="AK30" i="7"/>
  <c r="AM30" i="7" s="1"/>
  <c r="AN29" i="7"/>
  <c r="AF29" i="7"/>
  <c r="AH29" i="7" s="1"/>
  <c r="AG30" i="7"/>
  <c r="AI28" i="7"/>
  <c r="AB31" i="7"/>
  <c r="AA30" i="7"/>
  <c r="AC30" i="7" s="1"/>
  <c r="AD29" i="7"/>
  <c r="V29" i="7"/>
  <c r="X29" i="7" s="1"/>
  <c r="W30" i="7"/>
  <c r="Y28" i="7"/>
  <c r="T28" i="7"/>
  <c r="R30" i="7"/>
  <c r="Q29" i="7"/>
  <c r="S29" i="7" s="1"/>
  <c r="M31" i="7"/>
  <c r="L30" i="7"/>
  <c r="N30" i="7" s="1"/>
  <c r="O29" i="7"/>
  <c r="H31" i="7"/>
  <c r="G30" i="7"/>
  <c r="I30" i="7" s="1"/>
  <c r="J29" i="7"/>
  <c r="B31" i="7"/>
  <c r="D31" i="7" s="1"/>
  <c r="C32" i="7"/>
  <c r="E30" i="7"/>
  <c r="AQ32" i="7" l="1"/>
  <c r="AP31" i="7"/>
  <c r="AR31" i="7" s="1"/>
  <c r="AS30" i="7"/>
  <c r="AN30" i="7"/>
  <c r="AL32" i="7"/>
  <c r="AK31" i="7"/>
  <c r="AM31" i="7" s="1"/>
  <c r="AG31" i="7"/>
  <c r="AF30" i="7"/>
  <c r="AH30" i="7" s="1"/>
  <c r="AI29" i="7"/>
  <c r="AB32" i="7"/>
  <c r="AA31" i="7"/>
  <c r="AC31" i="7" s="1"/>
  <c r="AD30" i="7"/>
  <c r="W31" i="7"/>
  <c r="V30" i="7"/>
  <c r="X30" i="7" s="1"/>
  <c r="Y29" i="7"/>
  <c r="R31" i="7"/>
  <c r="Q30" i="7"/>
  <c r="S30" i="7" s="1"/>
  <c r="T29" i="7"/>
  <c r="O30" i="7"/>
  <c r="M32" i="7"/>
  <c r="L31" i="7"/>
  <c r="N31" i="7" s="1"/>
  <c r="J30" i="7"/>
  <c r="H32" i="7"/>
  <c r="G31" i="7"/>
  <c r="I31" i="7" s="1"/>
  <c r="B32" i="7"/>
  <c r="D32" i="7" s="1"/>
  <c r="C33" i="7"/>
  <c r="E31" i="7"/>
  <c r="E32" i="7" l="1"/>
  <c r="AQ33" i="7"/>
  <c r="AP32" i="7"/>
  <c r="AR32" i="7" s="1"/>
  <c r="AS31" i="7"/>
  <c r="AL33" i="7"/>
  <c r="AK32" i="7"/>
  <c r="AM32" i="7" s="1"/>
  <c r="AN31" i="7"/>
  <c r="AI30" i="7"/>
  <c r="AG32" i="7"/>
  <c r="AF31" i="7"/>
  <c r="AH31" i="7" s="1"/>
  <c r="AB33" i="7"/>
  <c r="AA32" i="7"/>
  <c r="AC32" i="7" s="1"/>
  <c r="AD31" i="7"/>
  <c r="Y30" i="7"/>
  <c r="V31" i="7"/>
  <c r="X31" i="7" s="1"/>
  <c r="W32" i="7"/>
  <c r="T30" i="7"/>
  <c r="Q31" i="7"/>
  <c r="S31" i="7" s="1"/>
  <c r="R32" i="7"/>
  <c r="M33" i="7"/>
  <c r="L32" i="7"/>
  <c r="N32" i="7" s="1"/>
  <c r="O31" i="7"/>
  <c r="H33" i="7"/>
  <c r="G32" i="7"/>
  <c r="I32" i="7" s="1"/>
  <c r="J31" i="7"/>
  <c r="B33" i="7"/>
  <c r="D33" i="7" s="1"/>
  <c r="C34" i="7"/>
  <c r="E33" i="7" l="1"/>
  <c r="AQ34" i="7"/>
  <c r="AP33" i="7"/>
  <c r="AR33" i="7" s="1"/>
  <c r="AS32" i="7"/>
  <c r="AN32" i="7"/>
  <c r="AL34" i="7"/>
  <c r="AK33" i="7"/>
  <c r="AM33" i="7" s="1"/>
  <c r="AG33" i="7"/>
  <c r="AF32" i="7"/>
  <c r="AH32" i="7" s="1"/>
  <c r="AI31" i="7"/>
  <c r="AD32" i="7"/>
  <c r="AB34" i="7"/>
  <c r="AA33" i="7"/>
  <c r="AC33" i="7" s="1"/>
  <c r="W33" i="7"/>
  <c r="V32" i="7"/>
  <c r="X32" i="7" s="1"/>
  <c r="Y31" i="7"/>
  <c r="R33" i="7"/>
  <c r="Q32" i="7"/>
  <c r="S32" i="7" s="1"/>
  <c r="T31" i="7"/>
  <c r="M34" i="7"/>
  <c r="L33" i="7"/>
  <c r="N33" i="7" s="1"/>
  <c r="O32" i="7"/>
  <c r="H34" i="7"/>
  <c r="G33" i="7"/>
  <c r="I33" i="7" s="1"/>
  <c r="J32" i="7"/>
  <c r="B34" i="7"/>
  <c r="D34" i="7" s="1"/>
  <c r="E34" i="7"/>
  <c r="C35" i="7"/>
  <c r="AI32" i="7" l="1"/>
  <c r="AQ35" i="7"/>
  <c r="AP34" i="7"/>
  <c r="AR34" i="7" s="1"/>
  <c r="AS33" i="7"/>
  <c r="AL35" i="7"/>
  <c r="AK34" i="7"/>
  <c r="AM34" i="7" s="1"/>
  <c r="AN33" i="7"/>
  <c r="AF33" i="7"/>
  <c r="AH33" i="7" s="1"/>
  <c r="AG34" i="7"/>
  <c r="AB35" i="7"/>
  <c r="AA34" i="7"/>
  <c r="AC34" i="7" s="1"/>
  <c r="AD33" i="7"/>
  <c r="Y32" i="7"/>
  <c r="W34" i="7"/>
  <c r="V33" i="7"/>
  <c r="X33" i="7" s="1"/>
  <c r="T32" i="7"/>
  <c r="Q33" i="7"/>
  <c r="S33" i="7" s="1"/>
  <c r="R34" i="7"/>
  <c r="M35" i="7"/>
  <c r="L34" i="7"/>
  <c r="N34" i="7" s="1"/>
  <c r="O33" i="7"/>
  <c r="H35" i="7"/>
  <c r="G34" i="7"/>
  <c r="I34" i="7" s="1"/>
  <c r="J33" i="7"/>
  <c r="B35" i="7"/>
  <c r="D35" i="7" s="1"/>
  <c r="C36" i="7"/>
  <c r="AS34" i="7" l="1"/>
  <c r="AQ36" i="7"/>
  <c r="AP35" i="7"/>
  <c r="AR35" i="7" s="1"/>
  <c r="AN34" i="7"/>
  <c r="AL36" i="7"/>
  <c r="AK35" i="7"/>
  <c r="AM35" i="7" s="1"/>
  <c r="AG35" i="7"/>
  <c r="AF34" i="7"/>
  <c r="AH34" i="7" s="1"/>
  <c r="AI33" i="7"/>
  <c r="AB36" i="7"/>
  <c r="AA35" i="7"/>
  <c r="AC35" i="7" s="1"/>
  <c r="AD34" i="7"/>
  <c r="W35" i="7"/>
  <c r="V34" i="7"/>
  <c r="X34" i="7" s="1"/>
  <c r="Y33" i="7"/>
  <c r="R35" i="7"/>
  <c r="Q34" i="7"/>
  <c r="S34" i="7" s="1"/>
  <c r="T33" i="7"/>
  <c r="M36" i="7"/>
  <c r="L35" i="7"/>
  <c r="N35" i="7" s="1"/>
  <c r="O34" i="7"/>
  <c r="J34" i="7"/>
  <c r="H36" i="7"/>
  <c r="G35" i="7"/>
  <c r="I35" i="7" s="1"/>
  <c r="C37" i="7"/>
  <c r="B36" i="7"/>
  <c r="D36" i="7" s="1"/>
  <c r="E35" i="7"/>
  <c r="AQ37" i="7" l="1"/>
  <c r="AP36" i="7"/>
  <c r="AR36" i="7" s="1"/>
  <c r="AS35" i="7"/>
  <c r="AL37" i="7"/>
  <c r="AK36" i="7"/>
  <c r="AM36" i="7" s="1"/>
  <c r="AN35" i="7"/>
  <c r="AI34" i="7"/>
  <c r="AF35" i="7"/>
  <c r="AH35" i="7" s="1"/>
  <c r="AG36" i="7"/>
  <c r="AB37" i="7"/>
  <c r="AA36" i="7"/>
  <c r="AC36" i="7" s="1"/>
  <c r="AD35" i="7"/>
  <c r="V35" i="7"/>
  <c r="X35" i="7" s="1"/>
  <c r="W36" i="7"/>
  <c r="Y34" i="7"/>
  <c r="T34" i="7"/>
  <c r="Q35" i="7"/>
  <c r="S35" i="7" s="1"/>
  <c r="R36" i="7"/>
  <c r="O35" i="7"/>
  <c r="M37" i="7"/>
  <c r="L36" i="7"/>
  <c r="N36" i="7" s="1"/>
  <c r="H37" i="7"/>
  <c r="G36" i="7"/>
  <c r="I36" i="7" s="1"/>
  <c r="J35" i="7"/>
  <c r="E36" i="7"/>
  <c r="C38" i="7"/>
  <c r="B37" i="7"/>
  <c r="D37" i="7" s="1"/>
  <c r="E37" i="7" l="1"/>
  <c r="AS36" i="7"/>
  <c r="AQ38" i="7"/>
  <c r="AP37" i="7"/>
  <c r="AR37" i="7" s="1"/>
  <c r="AN36" i="7"/>
  <c r="AL38" i="7"/>
  <c r="AK37" i="7"/>
  <c r="AM37" i="7" s="1"/>
  <c r="AG37" i="7"/>
  <c r="AF36" i="7"/>
  <c r="AH36" i="7" s="1"/>
  <c r="AI35" i="7"/>
  <c r="AB38" i="7"/>
  <c r="AA37" i="7"/>
  <c r="AC37" i="7" s="1"/>
  <c r="AD36" i="7"/>
  <c r="W37" i="7"/>
  <c r="V36" i="7"/>
  <c r="X36" i="7" s="1"/>
  <c r="Y35" i="7"/>
  <c r="T35" i="7"/>
  <c r="R37" i="7"/>
  <c r="Q36" i="7"/>
  <c r="S36" i="7" s="1"/>
  <c r="O36" i="7"/>
  <c r="M38" i="7"/>
  <c r="L37" i="7"/>
  <c r="N37" i="7" s="1"/>
  <c r="H38" i="7"/>
  <c r="G37" i="7"/>
  <c r="I37" i="7" s="1"/>
  <c r="J36" i="7"/>
  <c r="B38" i="7"/>
  <c r="D38" i="7" s="1"/>
  <c r="C39" i="7"/>
  <c r="AQ39" i="7" l="1"/>
  <c r="AP38" i="7"/>
  <c r="AR38" i="7" s="1"/>
  <c r="AS37" i="7"/>
  <c r="AL39" i="7"/>
  <c r="AK38" i="7"/>
  <c r="AM38" i="7" s="1"/>
  <c r="AN37" i="7"/>
  <c r="AF37" i="7"/>
  <c r="AH37" i="7" s="1"/>
  <c r="AG38" i="7"/>
  <c r="AI36" i="7"/>
  <c r="AB39" i="7"/>
  <c r="AA38" i="7"/>
  <c r="AC38" i="7" s="1"/>
  <c r="AD37" i="7"/>
  <c r="Y36" i="7"/>
  <c r="V37" i="7"/>
  <c r="X37" i="7" s="1"/>
  <c r="W38" i="7"/>
  <c r="T36" i="7"/>
  <c r="R38" i="7"/>
  <c r="Q37" i="7"/>
  <c r="S37" i="7" s="1"/>
  <c r="M39" i="7"/>
  <c r="L38" i="7"/>
  <c r="N38" i="7" s="1"/>
  <c r="O37" i="7"/>
  <c r="H39" i="7"/>
  <c r="G38" i="7"/>
  <c r="I38" i="7" s="1"/>
  <c r="J37" i="7"/>
  <c r="B39" i="7"/>
  <c r="D39" i="7" s="1"/>
  <c r="C40" i="7"/>
  <c r="E39" i="7"/>
  <c r="E38" i="7"/>
  <c r="AS38" i="7" l="1"/>
  <c r="AQ40" i="7"/>
  <c r="AP39" i="7"/>
  <c r="AR39" i="7" s="1"/>
  <c r="AN38" i="7"/>
  <c r="AL40" i="7"/>
  <c r="AK39" i="7"/>
  <c r="AM39" i="7" s="1"/>
  <c r="AG39" i="7"/>
  <c r="AF38" i="7"/>
  <c r="AH38" i="7" s="1"/>
  <c r="AI37" i="7"/>
  <c r="AD38" i="7"/>
  <c r="AB40" i="7"/>
  <c r="AA39" i="7"/>
  <c r="AC39" i="7" s="1"/>
  <c r="W39" i="7"/>
  <c r="V38" i="7"/>
  <c r="X38" i="7" s="1"/>
  <c r="Y37" i="7"/>
  <c r="R39" i="7"/>
  <c r="Q38" i="7"/>
  <c r="S38" i="7" s="1"/>
  <c r="T37" i="7"/>
  <c r="M40" i="7"/>
  <c r="L39" i="7"/>
  <c r="N39" i="7" s="1"/>
  <c r="O38" i="7"/>
  <c r="H40" i="7"/>
  <c r="G39" i="7"/>
  <c r="I39" i="7" s="1"/>
  <c r="J38" i="7"/>
  <c r="C41" i="7"/>
  <c r="B40" i="7"/>
  <c r="AQ41" i="7" l="1"/>
  <c r="AP40" i="7"/>
  <c r="AR40" i="7" s="1"/>
  <c r="AS39" i="7"/>
  <c r="AL41" i="7"/>
  <c r="AK40" i="7"/>
  <c r="AM40" i="7" s="1"/>
  <c r="AN39" i="7"/>
  <c r="AI38" i="7"/>
  <c r="AG40" i="7"/>
  <c r="AF39" i="7"/>
  <c r="AH39" i="7" s="1"/>
  <c r="AB41" i="7"/>
  <c r="AA40" i="7"/>
  <c r="AC40" i="7" s="1"/>
  <c r="AD39" i="7"/>
  <c r="V39" i="7"/>
  <c r="X39" i="7" s="1"/>
  <c r="W40" i="7"/>
  <c r="Y38" i="7"/>
  <c r="T38" i="7"/>
  <c r="Q39" i="7"/>
  <c r="S39" i="7" s="1"/>
  <c r="R40" i="7"/>
  <c r="M41" i="7"/>
  <c r="L40" i="7"/>
  <c r="N40" i="7" s="1"/>
  <c r="O39" i="7"/>
  <c r="H41" i="7"/>
  <c r="G40" i="7"/>
  <c r="I40" i="7" s="1"/>
  <c r="J39" i="7"/>
  <c r="E40" i="7"/>
  <c r="D40" i="7"/>
  <c r="C42" i="7"/>
  <c r="B41" i="7"/>
  <c r="J40" i="7" l="1"/>
  <c r="AS40" i="7"/>
  <c r="AP41" i="7"/>
  <c r="AQ42" i="7"/>
  <c r="AN40" i="7"/>
  <c r="AL42" i="7"/>
  <c r="AK41" i="7"/>
  <c r="AG41" i="7"/>
  <c r="AF40" i="7"/>
  <c r="AH40" i="7" s="1"/>
  <c r="AI39" i="7"/>
  <c r="AA41" i="7"/>
  <c r="AB42" i="7"/>
  <c r="AD40" i="7"/>
  <c r="W41" i="7"/>
  <c r="V40" i="7"/>
  <c r="X40" i="7" s="1"/>
  <c r="Y39" i="7"/>
  <c r="R41" i="7"/>
  <c r="Q40" i="7"/>
  <c r="S40" i="7" s="1"/>
  <c r="T39" i="7"/>
  <c r="O40" i="7"/>
  <c r="L41" i="7"/>
  <c r="M42" i="7"/>
  <c r="G41" i="7"/>
  <c r="H42" i="7"/>
  <c r="E41" i="7"/>
  <c r="B47" i="7"/>
  <c r="B55" i="7"/>
  <c r="B63" i="7"/>
  <c r="B71" i="7"/>
  <c r="B74" i="7"/>
  <c r="B48" i="7"/>
  <c r="B56" i="7"/>
  <c r="B64" i="7"/>
  <c r="B72" i="7"/>
  <c r="B66" i="7"/>
  <c r="B49" i="7"/>
  <c r="B57" i="7"/>
  <c r="B65" i="7"/>
  <c r="B73" i="7"/>
  <c r="B58" i="7"/>
  <c r="B42" i="7"/>
  <c r="D42" i="7" s="1"/>
  <c r="B50" i="7"/>
  <c r="B43" i="7"/>
  <c r="B51" i="7"/>
  <c r="B59" i="7"/>
  <c r="B67" i="7"/>
  <c r="B75" i="7"/>
  <c r="B44" i="7"/>
  <c r="B52" i="7"/>
  <c r="B60" i="7"/>
  <c r="B68" i="7"/>
  <c r="B76" i="7"/>
  <c r="B45" i="7"/>
  <c r="B53" i="7"/>
  <c r="B61" i="7"/>
  <c r="B69" i="7"/>
  <c r="B46" i="7"/>
  <c r="B54" i="7"/>
  <c r="B62" i="7"/>
  <c r="B70" i="7"/>
  <c r="D41" i="7"/>
  <c r="C43" i="7"/>
  <c r="E42" i="7" l="1"/>
  <c r="AP47" i="7"/>
  <c r="AR41" i="7"/>
  <c r="AP49" i="7"/>
  <c r="AP51" i="7"/>
  <c r="AP75" i="7"/>
  <c r="AP73" i="7"/>
  <c r="AP71" i="7"/>
  <c r="AP69" i="7"/>
  <c r="AP67" i="7"/>
  <c r="AP65" i="7"/>
  <c r="AP63" i="7"/>
  <c r="AP61" i="7"/>
  <c r="AP59" i="7"/>
  <c r="AP57" i="7"/>
  <c r="AP55" i="7"/>
  <c r="AP53" i="7"/>
  <c r="AP45" i="7"/>
  <c r="AP43" i="7"/>
  <c r="AP76" i="7"/>
  <c r="AP74" i="7"/>
  <c r="AP72" i="7"/>
  <c r="AP70" i="7"/>
  <c r="AP68" i="7"/>
  <c r="AP66" i="7"/>
  <c r="AP64" i="7"/>
  <c r="AP62" i="7"/>
  <c r="AP60" i="7"/>
  <c r="AP58" i="7"/>
  <c r="AP56" i="7"/>
  <c r="AP54" i="7"/>
  <c r="AP52" i="7"/>
  <c r="AP50" i="7"/>
  <c r="AP48" i="7"/>
  <c r="AP46" i="7"/>
  <c r="AP44" i="7"/>
  <c r="AP42" i="7"/>
  <c r="AR42" i="7" s="1"/>
  <c r="AQ43" i="7"/>
  <c r="AS41" i="7"/>
  <c r="AL43" i="7"/>
  <c r="AM41" i="7"/>
  <c r="AK75" i="7"/>
  <c r="AK73" i="7"/>
  <c r="AK71" i="7"/>
  <c r="AK69" i="7"/>
  <c r="AK67" i="7"/>
  <c r="AK65" i="7"/>
  <c r="AK63" i="7"/>
  <c r="AK61" i="7"/>
  <c r="AK59" i="7"/>
  <c r="AK57" i="7"/>
  <c r="AK55" i="7"/>
  <c r="AK53" i="7"/>
  <c r="AK51" i="7"/>
  <c r="AK49" i="7"/>
  <c r="AK47" i="7"/>
  <c r="AK45" i="7"/>
  <c r="AK43" i="7"/>
  <c r="AK76" i="7"/>
  <c r="AK74" i="7"/>
  <c r="AK72" i="7"/>
  <c r="AK70" i="7"/>
  <c r="AK68" i="7"/>
  <c r="AK66" i="7"/>
  <c r="AK64" i="7"/>
  <c r="AK62" i="7"/>
  <c r="AK60" i="7"/>
  <c r="AK58" i="7"/>
  <c r="AK56" i="7"/>
  <c r="AK54" i="7"/>
  <c r="AK52" i="7"/>
  <c r="AK50" i="7"/>
  <c r="AK48" i="7"/>
  <c r="AK46" i="7"/>
  <c r="AK44" i="7"/>
  <c r="AK42" i="7"/>
  <c r="AM42" i="7" s="1"/>
  <c r="AN41" i="7"/>
  <c r="AF41" i="7"/>
  <c r="AG42" i="7"/>
  <c r="AI40" i="7"/>
  <c r="AB43" i="7"/>
  <c r="AC41" i="7"/>
  <c r="AA75" i="7"/>
  <c r="AA73" i="7"/>
  <c r="AA71" i="7"/>
  <c r="AA69" i="7"/>
  <c r="AA67" i="7"/>
  <c r="AA65" i="7"/>
  <c r="AA63" i="7"/>
  <c r="AA61" i="7"/>
  <c r="AA59" i="7"/>
  <c r="AA57" i="7"/>
  <c r="AA55" i="7"/>
  <c r="AA53" i="7"/>
  <c r="AA51" i="7"/>
  <c r="AA49" i="7"/>
  <c r="AA47" i="7"/>
  <c r="AA45" i="7"/>
  <c r="AA43" i="7"/>
  <c r="AA76" i="7"/>
  <c r="AA74" i="7"/>
  <c r="AA72" i="7"/>
  <c r="AA70" i="7"/>
  <c r="AA68" i="7"/>
  <c r="AA66" i="7"/>
  <c r="AA64" i="7"/>
  <c r="AA62" i="7"/>
  <c r="AA60" i="7"/>
  <c r="AA58" i="7"/>
  <c r="AA56" i="7"/>
  <c r="AA54" i="7"/>
  <c r="AA52" i="7"/>
  <c r="AA50" i="7"/>
  <c r="AA48" i="7"/>
  <c r="AA46" i="7"/>
  <c r="AA44" i="7"/>
  <c r="AA42" i="7"/>
  <c r="AC42" i="7" s="1"/>
  <c r="AD41" i="7"/>
  <c r="Y40" i="7"/>
  <c r="W42" i="7"/>
  <c r="V41" i="7"/>
  <c r="T40" i="7"/>
  <c r="Q41" i="7"/>
  <c r="R42" i="7"/>
  <c r="N41" i="7"/>
  <c r="L75" i="7"/>
  <c r="L73" i="7"/>
  <c r="L71" i="7"/>
  <c r="L69" i="7"/>
  <c r="L67" i="7"/>
  <c r="L65" i="7"/>
  <c r="L63" i="7"/>
  <c r="L61" i="7"/>
  <c r="L59" i="7"/>
  <c r="L57" i="7"/>
  <c r="L55" i="7"/>
  <c r="L53" i="7"/>
  <c r="L51" i="7"/>
  <c r="L49" i="7"/>
  <c r="L47" i="7"/>
  <c r="L45" i="7"/>
  <c r="L43" i="7"/>
  <c r="L76" i="7"/>
  <c r="L74" i="7"/>
  <c r="L72" i="7"/>
  <c r="L70" i="7"/>
  <c r="L68" i="7"/>
  <c r="L66" i="7"/>
  <c r="L64" i="7"/>
  <c r="L62" i="7"/>
  <c r="L60" i="7"/>
  <c r="L58" i="7"/>
  <c r="L56" i="7"/>
  <c r="L54" i="7"/>
  <c r="L52" i="7"/>
  <c r="L50" i="7"/>
  <c r="L48" i="7"/>
  <c r="L46" i="7"/>
  <c r="L44" i="7"/>
  <c r="L42" i="7"/>
  <c r="N42" i="7" s="1"/>
  <c r="O41" i="7"/>
  <c r="M43" i="7"/>
  <c r="H43" i="7"/>
  <c r="G71" i="7"/>
  <c r="G67" i="7"/>
  <c r="G57" i="7"/>
  <c r="G51" i="7"/>
  <c r="G47" i="7"/>
  <c r="I41" i="7"/>
  <c r="G73" i="7"/>
  <c r="G65" i="7"/>
  <c r="G59" i="7"/>
  <c r="G55" i="7"/>
  <c r="G49" i="7"/>
  <c r="G43" i="7"/>
  <c r="G75" i="7"/>
  <c r="G69" i="7"/>
  <c r="G61" i="7"/>
  <c r="G53" i="7"/>
  <c r="G45" i="7"/>
  <c r="G63" i="7"/>
  <c r="G76" i="7"/>
  <c r="G74" i="7"/>
  <c r="G72" i="7"/>
  <c r="G70" i="7"/>
  <c r="G68" i="7"/>
  <c r="G66" i="7"/>
  <c r="G64" i="7"/>
  <c r="G62" i="7"/>
  <c r="G60" i="7"/>
  <c r="G58" i="7"/>
  <c r="G56" i="7"/>
  <c r="G54" i="7"/>
  <c r="G52" i="7"/>
  <c r="G50" i="7"/>
  <c r="G48" i="7"/>
  <c r="G46" i="7"/>
  <c r="G44" i="7"/>
  <c r="G42" i="7"/>
  <c r="I42" i="7" s="1"/>
  <c r="J41" i="7"/>
  <c r="E43" i="7"/>
  <c r="C44" i="7"/>
  <c r="D43" i="7"/>
  <c r="O42" i="7" l="1"/>
  <c r="AS42" i="7"/>
  <c r="I43" i="7"/>
  <c r="AC43" i="7"/>
  <c r="AM43" i="7"/>
  <c r="AR43" i="7"/>
  <c r="AS43" i="7"/>
  <c r="AQ44" i="7"/>
  <c r="AN42" i="7"/>
  <c r="AN43" i="7"/>
  <c r="AL44" i="7"/>
  <c r="AF71" i="7"/>
  <c r="AF57" i="7"/>
  <c r="AF49" i="7"/>
  <c r="AH41" i="7"/>
  <c r="AF73" i="7"/>
  <c r="AF55" i="7"/>
  <c r="AF45" i="7"/>
  <c r="AF75" i="7"/>
  <c r="AF61" i="7"/>
  <c r="AF51" i="7"/>
  <c r="AF43" i="7"/>
  <c r="AF69" i="7"/>
  <c r="AF76" i="7"/>
  <c r="AF74" i="7"/>
  <c r="AF72" i="7"/>
  <c r="AF70" i="7"/>
  <c r="AF68" i="7"/>
  <c r="AF66" i="7"/>
  <c r="AF64" i="7"/>
  <c r="AF62" i="7"/>
  <c r="AF60" i="7"/>
  <c r="AF58" i="7"/>
  <c r="AF56" i="7"/>
  <c r="AF54" i="7"/>
  <c r="AF52" i="7"/>
  <c r="AF50" i="7"/>
  <c r="AF48" i="7"/>
  <c r="AF46" i="7"/>
  <c r="AF44" i="7"/>
  <c r="AF42" i="7"/>
  <c r="AH42" i="7" s="1"/>
  <c r="AF67" i="7"/>
  <c r="AF65" i="7"/>
  <c r="AF63" i="7"/>
  <c r="AF59" i="7"/>
  <c r="AF53" i="7"/>
  <c r="AF47" i="7"/>
  <c r="AG43" i="7"/>
  <c r="AI41" i="7"/>
  <c r="AD43" i="7"/>
  <c r="AB44" i="7"/>
  <c r="AD42" i="7"/>
  <c r="W43" i="7"/>
  <c r="V73" i="7"/>
  <c r="V67" i="7"/>
  <c r="V61" i="7"/>
  <c r="V55" i="7"/>
  <c r="V47" i="7"/>
  <c r="X41" i="7"/>
  <c r="V75" i="7"/>
  <c r="V59" i="7"/>
  <c r="V51" i="7"/>
  <c r="V43" i="7"/>
  <c r="V63" i="7"/>
  <c r="V53" i="7"/>
  <c r="V45" i="7"/>
  <c r="V76" i="7"/>
  <c r="V74" i="7"/>
  <c r="V72" i="7"/>
  <c r="V70" i="7"/>
  <c r="V68" i="7"/>
  <c r="V66" i="7"/>
  <c r="V64" i="7"/>
  <c r="V62" i="7"/>
  <c r="V60" i="7"/>
  <c r="V58" i="7"/>
  <c r="V56" i="7"/>
  <c r="V54" i="7"/>
  <c r="V52" i="7"/>
  <c r="V50" i="7"/>
  <c r="V48" i="7"/>
  <c r="V46" i="7"/>
  <c r="V44" i="7"/>
  <c r="V42" i="7"/>
  <c r="X42" i="7" s="1"/>
  <c r="V71" i="7"/>
  <c r="V69" i="7"/>
  <c r="V65" i="7"/>
  <c r="V57" i="7"/>
  <c r="V49" i="7"/>
  <c r="Y41" i="7"/>
  <c r="R43" i="7"/>
  <c r="Q73" i="7"/>
  <c r="Q63" i="7"/>
  <c r="Q55" i="7"/>
  <c r="Q45" i="7"/>
  <c r="S41" i="7"/>
  <c r="Q75" i="7"/>
  <c r="Q59" i="7"/>
  <c r="Q51" i="7"/>
  <c r="Q69" i="7"/>
  <c r="Q61" i="7"/>
  <c r="Q49" i="7"/>
  <c r="Q43" i="7"/>
  <c r="Q67" i="7"/>
  <c r="Q53" i="7"/>
  <c r="Q76" i="7"/>
  <c r="Q74" i="7"/>
  <c r="Q72" i="7"/>
  <c r="Q70" i="7"/>
  <c r="Q68" i="7"/>
  <c r="Q66" i="7"/>
  <c r="Q64" i="7"/>
  <c r="Q62" i="7"/>
  <c r="Q60" i="7"/>
  <c r="Q58" i="7"/>
  <c r="Q56" i="7"/>
  <c r="Q54" i="7"/>
  <c r="Q52" i="7"/>
  <c r="Q50" i="7"/>
  <c r="Q48" i="7"/>
  <c r="Q46" i="7"/>
  <c r="Q44" i="7"/>
  <c r="Q42" i="7"/>
  <c r="S42" i="7" s="1"/>
  <c r="Q71" i="7"/>
  <c r="Q65" i="7"/>
  <c r="Q57" i="7"/>
  <c r="Q47" i="7"/>
  <c r="T41" i="7"/>
  <c r="O43" i="7"/>
  <c r="M44" i="7"/>
  <c r="N44" i="7" s="1"/>
  <c r="N43" i="7"/>
  <c r="J43" i="7"/>
  <c r="H44" i="7"/>
  <c r="J42" i="7"/>
  <c r="C45" i="7"/>
  <c r="E44" i="7"/>
  <c r="D44" i="7"/>
  <c r="X43" i="7" l="1"/>
  <c r="S43" i="7"/>
  <c r="AQ45" i="7"/>
  <c r="AS44" i="7"/>
  <c r="AR44" i="7"/>
  <c r="AL45" i="7"/>
  <c r="AN44" i="7"/>
  <c r="AM44" i="7"/>
  <c r="AI42" i="7"/>
  <c r="AH43" i="7"/>
  <c r="AI43" i="7"/>
  <c r="AG44" i="7"/>
  <c r="AH44" i="7" s="1"/>
  <c r="AB45" i="7"/>
  <c r="AD44" i="7"/>
  <c r="AC44" i="7"/>
  <c r="Y42" i="7"/>
  <c r="Y43" i="7"/>
  <c r="W44" i="7"/>
  <c r="T42" i="7"/>
  <c r="T43" i="7"/>
  <c r="R44" i="7"/>
  <c r="S44" i="7" s="1"/>
  <c r="M45" i="7"/>
  <c r="O44" i="7"/>
  <c r="J44" i="7"/>
  <c r="H45" i="7"/>
  <c r="I44" i="7"/>
  <c r="C46" i="7"/>
  <c r="E45" i="7"/>
  <c r="D45" i="7"/>
  <c r="AS45" i="7" l="1"/>
  <c r="AQ46" i="7"/>
  <c r="AR45" i="7"/>
  <c r="AN45" i="7"/>
  <c r="AL46" i="7"/>
  <c r="AM45" i="7"/>
  <c r="AG45" i="7"/>
  <c r="AI44" i="7"/>
  <c r="AD45" i="7"/>
  <c r="AB46" i="7"/>
  <c r="AC45" i="7"/>
  <c r="W45" i="7"/>
  <c r="Y44" i="7"/>
  <c r="X44" i="7"/>
  <c r="R45" i="7"/>
  <c r="T44" i="7"/>
  <c r="O45" i="7"/>
  <c r="M46" i="7"/>
  <c r="N45" i="7"/>
  <c r="J45" i="7"/>
  <c r="H46" i="7"/>
  <c r="I45" i="7"/>
  <c r="C47" i="7"/>
  <c r="E46" i="7"/>
  <c r="D46" i="7"/>
  <c r="AQ47" i="7" l="1"/>
  <c r="AS46" i="7"/>
  <c r="AR46" i="7"/>
  <c r="AL47" i="7"/>
  <c r="AN46" i="7"/>
  <c r="AM46" i="7"/>
  <c r="AI45" i="7"/>
  <c r="AG46" i="7"/>
  <c r="AH45" i="7"/>
  <c r="AD46" i="7"/>
  <c r="AB47" i="7"/>
  <c r="AC46" i="7"/>
  <c r="Y45" i="7"/>
  <c r="W46" i="7"/>
  <c r="X45" i="7"/>
  <c r="T45" i="7"/>
  <c r="R46" i="7"/>
  <c r="S45" i="7"/>
  <c r="M47" i="7"/>
  <c r="O46" i="7"/>
  <c r="N46" i="7"/>
  <c r="H47" i="7"/>
  <c r="J46" i="7"/>
  <c r="I46" i="7"/>
  <c r="E47" i="7"/>
  <c r="C48" i="7"/>
  <c r="D47" i="7"/>
  <c r="AS47" i="7" l="1"/>
  <c r="AQ48" i="7"/>
  <c r="AR47" i="7"/>
  <c r="AN47" i="7"/>
  <c r="AL48" i="7"/>
  <c r="AM47" i="7"/>
  <c r="AG47" i="7"/>
  <c r="AI46" i="7"/>
  <c r="AH46" i="7"/>
  <c r="AD47" i="7"/>
  <c r="AB48" i="7"/>
  <c r="AC47" i="7"/>
  <c r="W47" i="7"/>
  <c r="Y46" i="7"/>
  <c r="X46" i="7"/>
  <c r="R47" i="7"/>
  <c r="T46" i="7"/>
  <c r="S46" i="7"/>
  <c r="O47" i="7"/>
  <c r="M48" i="7"/>
  <c r="N47" i="7"/>
  <c r="J47" i="7"/>
  <c r="H48" i="7"/>
  <c r="I47" i="7"/>
  <c r="E48" i="7"/>
  <c r="C49" i="7"/>
  <c r="D48" i="7"/>
  <c r="AQ49" i="7" l="1"/>
  <c r="AS48" i="7"/>
  <c r="AR48" i="7"/>
  <c r="AL49" i="7"/>
  <c r="AN48" i="7"/>
  <c r="AM48" i="7"/>
  <c r="AI47" i="7"/>
  <c r="AG48" i="7"/>
  <c r="AH47" i="7"/>
  <c r="AD48" i="7"/>
  <c r="AB49" i="7"/>
  <c r="AC48" i="7"/>
  <c r="Y47" i="7"/>
  <c r="W48" i="7"/>
  <c r="X47" i="7"/>
  <c r="T47" i="7"/>
  <c r="R48" i="7"/>
  <c r="S47" i="7"/>
  <c r="O48" i="7"/>
  <c r="M49" i="7"/>
  <c r="N48" i="7"/>
  <c r="H49" i="7"/>
  <c r="J48" i="7"/>
  <c r="I48" i="7"/>
  <c r="C50" i="7"/>
  <c r="E49" i="7"/>
  <c r="D49" i="7"/>
  <c r="AS49" i="7" l="1"/>
  <c r="AQ50" i="7"/>
  <c r="AR49" i="7"/>
  <c r="AN49" i="7"/>
  <c r="AL50" i="7"/>
  <c r="AM49" i="7"/>
  <c r="AI48" i="7"/>
  <c r="AG49" i="7"/>
  <c r="AH48" i="7"/>
  <c r="AD49" i="7"/>
  <c r="AB50" i="7"/>
  <c r="AC49" i="7"/>
  <c r="W49" i="7"/>
  <c r="Y48" i="7"/>
  <c r="X48" i="7"/>
  <c r="R49" i="7"/>
  <c r="T48" i="7"/>
  <c r="S48" i="7"/>
  <c r="O49" i="7"/>
  <c r="M50" i="7"/>
  <c r="N49" i="7"/>
  <c r="J49" i="7"/>
  <c r="H50" i="7"/>
  <c r="I49" i="7"/>
  <c r="E50" i="7"/>
  <c r="C51" i="7"/>
  <c r="D50" i="7"/>
  <c r="AQ51" i="7" l="1"/>
  <c r="AS50" i="7"/>
  <c r="AR50" i="7"/>
  <c r="AL51" i="7"/>
  <c r="AN50" i="7"/>
  <c r="AM50" i="7"/>
  <c r="AI49" i="7"/>
  <c r="AG50" i="7"/>
  <c r="AH49" i="7"/>
  <c r="AB51" i="7"/>
  <c r="AD50" i="7"/>
  <c r="AC50" i="7"/>
  <c r="Y49" i="7"/>
  <c r="W50" i="7"/>
  <c r="X49" i="7"/>
  <c r="T49" i="7"/>
  <c r="R50" i="7"/>
  <c r="S49" i="7"/>
  <c r="O50" i="7"/>
  <c r="M51" i="7"/>
  <c r="N50" i="7"/>
  <c r="J50" i="7"/>
  <c r="H51" i="7"/>
  <c r="I50" i="7"/>
  <c r="E51" i="7"/>
  <c r="C52" i="7"/>
  <c r="D51" i="7"/>
  <c r="AS51" i="7" l="1"/>
  <c r="AQ52" i="7"/>
  <c r="AR51" i="7"/>
  <c r="AN51" i="7"/>
  <c r="AL52" i="7"/>
  <c r="AM51" i="7"/>
  <c r="AG51" i="7"/>
  <c r="AI50" i="7"/>
  <c r="AH50" i="7"/>
  <c r="AD51" i="7"/>
  <c r="AB52" i="7"/>
  <c r="AC51" i="7"/>
  <c r="W51" i="7"/>
  <c r="Y50" i="7"/>
  <c r="X50" i="7"/>
  <c r="T50" i="7"/>
  <c r="R51" i="7"/>
  <c r="S50" i="7"/>
  <c r="O51" i="7"/>
  <c r="M52" i="7"/>
  <c r="N51" i="7"/>
  <c r="J51" i="7"/>
  <c r="H52" i="7"/>
  <c r="I51" i="7"/>
  <c r="C53" i="7"/>
  <c r="E52" i="7"/>
  <c r="D52" i="7"/>
  <c r="AQ53" i="7" l="1"/>
  <c r="AS52" i="7"/>
  <c r="AR52" i="7"/>
  <c r="AL53" i="7"/>
  <c r="AN52" i="7"/>
  <c r="AM52" i="7"/>
  <c r="AI51" i="7"/>
  <c r="AG52" i="7"/>
  <c r="AH51" i="7"/>
  <c r="AD52" i="7"/>
  <c r="AB53" i="7"/>
  <c r="AC52" i="7"/>
  <c r="Y51" i="7"/>
  <c r="W52" i="7"/>
  <c r="X51" i="7"/>
  <c r="T51" i="7"/>
  <c r="R52" i="7"/>
  <c r="S51" i="7"/>
  <c r="M53" i="7"/>
  <c r="O52" i="7"/>
  <c r="N52" i="7"/>
  <c r="J52" i="7"/>
  <c r="H53" i="7"/>
  <c r="I52" i="7"/>
  <c r="C54" i="7"/>
  <c r="E53" i="7"/>
  <c r="D53" i="7"/>
  <c r="AS53" i="7" l="1"/>
  <c r="AQ54" i="7"/>
  <c r="AR53" i="7"/>
  <c r="AN53" i="7"/>
  <c r="AL54" i="7"/>
  <c r="AM53" i="7"/>
  <c r="AG53" i="7"/>
  <c r="AI52" i="7"/>
  <c r="AH52" i="7"/>
  <c r="AD53" i="7"/>
  <c r="AB54" i="7"/>
  <c r="AC53" i="7"/>
  <c r="W53" i="7"/>
  <c r="Y52" i="7"/>
  <c r="X52" i="7"/>
  <c r="R53" i="7"/>
  <c r="T52" i="7"/>
  <c r="S52" i="7"/>
  <c r="O53" i="7"/>
  <c r="M54" i="7"/>
  <c r="N53" i="7"/>
  <c r="J53" i="7"/>
  <c r="H54" i="7"/>
  <c r="I53" i="7"/>
  <c r="C55" i="7"/>
  <c r="E54" i="7"/>
  <c r="D54" i="7"/>
  <c r="AQ55" i="7" l="1"/>
  <c r="AS54" i="7"/>
  <c r="AR54" i="7"/>
  <c r="AL55" i="7"/>
  <c r="AN54" i="7"/>
  <c r="AM54" i="7"/>
  <c r="AI53" i="7"/>
  <c r="AG54" i="7"/>
  <c r="AH53" i="7"/>
  <c r="AD54" i="7"/>
  <c r="AB55" i="7"/>
  <c r="AC54" i="7"/>
  <c r="Y53" i="7"/>
  <c r="W54" i="7"/>
  <c r="X53" i="7"/>
  <c r="T53" i="7"/>
  <c r="R54" i="7"/>
  <c r="S53" i="7"/>
  <c r="M55" i="7"/>
  <c r="O54" i="7"/>
  <c r="N54" i="7"/>
  <c r="H55" i="7"/>
  <c r="J54" i="7"/>
  <c r="I54" i="7"/>
  <c r="E55" i="7"/>
  <c r="C56" i="7"/>
  <c r="D55" i="7"/>
  <c r="AS55" i="7" l="1"/>
  <c r="AQ56" i="7"/>
  <c r="AR55" i="7"/>
  <c r="AN55" i="7"/>
  <c r="AL56" i="7"/>
  <c r="AM55" i="7"/>
  <c r="AI54" i="7"/>
  <c r="AG55" i="7"/>
  <c r="AH54" i="7"/>
  <c r="AD55" i="7"/>
  <c r="AB56" i="7"/>
  <c r="AC55" i="7"/>
  <c r="W55" i="7"/>
  <c r="Y54" i="7"/>
  <c r="X54" i="7"/>
  <c r="R55" i="7"/>
  <c r="T54" i="7"/>
  <c r="S54" i="7"/>
  <c r="O55" i="7"/>
  <c r="M56" i="7"/>
  <c r="N55" i="7"/>
  <c r="J55" i="7"/>
  <c r="H56" i="7"/>
  <c r="I55" i="7"/>
  <c r="C57" i="7"/>
  <c r="E56" i="7"/>
  <c r="D56" i="7"/>
  <c r="AQ57" i="7" l="1"/>
  <c r="AS56" i="7"/>
  <c r="AR56" i="7"/>
  <c r="AL57" i="7"/>
  <c r="AN56" i="7"/>
  <c r="AM56" i="7"/>
  <c r="AI55" i="7"/>
  <c r="AG56" i="7"/>
  <c r="AH55" i="7"/>
  <c r="AB57" i="7"/>
  <c r="AD56" i="7"/>
  <c r="AC56" i="7"/>
  <c r="Y55" i="7"/>
  <c r="W56" i="7"/>
  <c r="X55" i="7"/>
  <c r="T55" i="7"/>
  <c r="R56" i="7"/>
  <c r="S55" i="7"/>
  <c r="M57" i="7"/>
  <c r="O56" i="7"/>
  <c r="N56" i="7"/>
  <c r="J56" i="7"/>
  <c r="H57" i="7"/>
  <c r="I56" i="7"/>
  <c r="C58" i="7"/>
  <c r="E57" i="7"/>
  <c r="D57" i="7"/>
  <c r="AS57" i="7" l="1"/>
  <c r="AQ58" i="7"/>
  <c r="AR57" i="7"/>
  <c r="AN57" i="7"/>
  <c r="AL58" i="7"/>
  <c r="AM57" i="7"/>
  <c r="AG57" i="7"/>
  <c r="AI56" i="7"/>
  <c r="AH56" i="7"/>
  <c r="AD57" i="7"/>
  <c r="AB58" i="7"/>
  <c r="AC57" i="7"/>
  <c r="W57" i="7"/>
  <c r="Y56" i="7"/>
  <c r="X56" i="7"/>
  <c r="T56" i="7"/>
  <c r="R57" i="7"/>
  <c r="S56" i="7"/>
  <c r="O57" i="7"/>
  <c r="M58" i="7"/>
  <c r="N57" i="7"/>
  <c r="J57" i="7"/>
  <c r="H58" i="7"/>
  <c r="I57" i="7"/>
  <c r="C59" i="7"/>
  <c r="E58" i="7"/>
  <c r="D58" i="7"/>
  <c r="AQ59" i="7" l="1"/>
  <c r="AS58" i="7"/>
  <c r="AR58" i="7"/>
  <c r="AL59" i="7"/>
  <c r="AN58" i="7"/>
  <c r="AM58" i="7"/>
  <c r="AI57" i="7"/>
  <c r="AG58" i="7"/>
  <c r="AH57" i="7"/>
  <c r="AD58" i="7"/>
  <c r="AB59" i="7"/>
  <c r="AC58" i="7"/>
  <c r="Y57" i="7"/>
  <c r="W58" i="7"/>
  <c r="X57" i="7"/>
  <c r="T57" i="7"/>
  <c r="R58" i="7"/>
  <c r="S57" i="7"/>
  <c r="M59" i="7"/>
  <c r="O58" i="7"/>
  <c r="N58" i="7"/>
  <c r="H59" i="7"/>
  <c r="J58" i="7"/>
  <c r="I58" i="7"/>
  <c r="E59" i="7"/>
  <c r="C60" i="7"/>
  <c r="D59" i="7"/>
  <c r="AS59" i="7" l="1"/>
  <c r="AQ60" i="7"/>
  <c r="AR59" i="7"/>
  <c r="AN59" i="7"/>
  <c r="AL60" i="7"/>
  <c r="AM59" i="7"/>
  <c r="AI58" i="7"/>
  <c r="AG59" i="7"/>
  <c r="AH58" i="7"/>
  <c r="AD59" i="7"/>
  <c r="AB60" i="7"/>
  <c r="AC59" i="7"/>
  <c r="W59" i="7"/>
  <c r="Y58" i="7"/>
  <c r="X58" i="7"/>
  <c r="R59" i="7"/>
  <c r="T58" i="7"/>
  <c r="S58" i="7"/>
  <c r="O59" i="7"/>
  <c r="M60" i="7"/>
  <c r="N59" i="7"/>
  <c r="J59" i="7"/>
  <c r="H60" i="7"/>
  <c r="I59" i="7"/>
  <c r="C61" i="7"/>
  <c r="E60" i="7"/>
  <c r="D60" i="7"/>
  <c r="AQ61" i="7" l="1"/>
  <c r="AS60" i="7"/>
  <c r="AR60" i="7"/>
  <c r="AL61" i="7"/>
  <c r="AN60" i="7"/>
  <c r="AM60" i="7"/>
  <c r="AI59" i="7"/>
  <c r="AG60" i="7"/>
  <c r="AH59" i="7"/>
  <c r="AD60" i="7"/>
  <c r="AB61" i="7"/>
  <c r="AC60" i="7"/>
  <c r="Y59" i="7"/>
  <c r="W60" i="7"/>
  <c r="X59" i="7"/>
  <c r="T59" i="7"/>
  <c r="R60" i="7"/>
  <c r="S59" i="7"/>
  <c r="M61" i="7"/>
  <c r="O60" i="7"/>
  <c r="N60" i="7"/>
  <c r="J60" i="7"/>
  <c r="H61" i="7"/>
  <c r="I60" i="7"/>
  <c r="C62" i="7"/>
  <c r="E61" i="7"/>
  <c r="D61" i="7"/>
  <c r="AS61" i="7" l="1"/>
  <c r="AQ62" i="7"/>
  <c r="AR61" i="7"/>
  <c r="AN61" i="7"/>
  <c r="AL62" i="7"/>
  <c r="AM61" i="7"/>
  <c r="AG61" i="7"/>
  <c r="AI60" i="7"/>
  <c r="AH60" i="7"/>
  <c r="AD61" i="7"/>
  <c r="AB62" i="7"/>
  <c r="AC61" i="7"/>
  <c r="W61" i="7"/>
  <c r="Y60" i="7"/>
  <c r="X60" i="7"/>
  <c r="R61" i="7"/>
  <c r="T60" i="7"/>
  <c r="S60" i="7"/>
  <c r="O61" i="7"/>
  <c r="M62" i="7"/>
  <c r="N61" i="7"/>
  <c r="J61" i="7"/>
  <c r="H62" i="7"/>
  <c r="I61" i="7"/>
  <c r="E62" i="7"/>
  <c r="C63" i="7"/>
  <c r="D62" i="7"/>
  <c r="AQ63" i="7" l="1"/>
  <c r="AS62" i="7"/>
  <c r="AR62" i="7"/>
  <c r="AL63" i="7"/>
  <c r="AN62" i="7"/>
  <c r="AM62" i="7"/>
  <c r="AI61" i="7"/>
  <c r="AG62" i="7"/>
  <c r="AH61" i="7"/>
  <c r="AB63" i="7"/>
  <c r="AD62" i="7"/>
  <c r="AC62" i="7"/>
  <c r="Y61" i="7"/>
  <c r="W62" i="7"/>
  <c r="X61" i="7"/>
  <c r="T61" i="7"/>
  <c r="R62" i="7"/>
  <c r="S61" i="7"/>
  <c r="M63" i="7"/>
  <c r="O62" i="7"/>
  <c r="N62" i="7"/>
  <c r="H63" i="7"/>
  <c r="J62" i="7"/>
  <c r="I62" i="7"/>
  <c r="E63" i="7"/>
  <c r="C64" i="7"/>
  <c r="D63" i="7"/>
  <c r="AS63" i="7" l="1"/>
  <c r="AQ64" i="7"/>
  <c r="AR63" i="7"/>
  <c r="AN63" i="7"/>
  <c r="AL64" i="7"/>
  <c r="AM63" i="7"/>
  <c r="AI62" i="7"/>
  <c r="AG63" i="7"/>
  <c r="AH62" i="7"/>
  <c r="AD63" i="7"/>
  <c r="AB64" i="7"/>
  <c r="AC63" i="7"/>
  <c r="W63" i="7"/>
  <c r="Y62" i="7"/>
  <c r="X62" i="7"/>
  <c r="R63" i="7"/>
  <c r="T62" i="7"/>
  <c r="S62" i="7"/>
  <c r="O63" i="7"/>
  <c r="M64" i="7"/>
  <c r="N63" i="7"/>
  <c r="J63" i="7"/>
  <c r="H64" i="7"/>
  <c r="I63" i="7"/>
  <c r="E64" i="7"/>
  <c r="C65" i="7"/>
  <c r="D64" i="7"/>
  <c r="AQ65" i="7" l="1"/>
  <c r="AS64" i="7"/>
  <c r="AR64" i="7"/>
  <c r="AL65" i="7"/>
  <c r="AN64" i="7"/>
  <c r="AM64" i="7"/>
  <c r="AI63" i="7"/>
  <c r="AG64" i="7"/>
  <c r="AH63" i="7"/>
  <c r="AD64" i="7"/>
  <c r="AB65" i="7"/>
  <c r="AC64" i="7"/>
  <c r="Y63" i="7"/>
  <c r="W64" i="7"/>
  <c r="X63" i="7"/>
  <c r="T63" i="7"/>
  <c r="R64" i="7"/>
  <c r="S63" i="7"/>
  <c r="M65" i="7"/>
  <c r="O64" i="7"/>
  <c r="N64" i="7"/>
  <c r="J64" i="7"/>
  <c r="H65" i="7"/>
  <c r="I64" i="7"/>
  <c r="C66" i="7"/>
  <c r="E65" i="7"/>
  <c r="D65" i="7"/>
  <c r="AS65" i="7" l="1"/>
  <c r="AQ66" i="7"/>
  <c r="AR65" i="7"/>
  <c r="AN65" i="7"/>
  <c r="AL66" i="7"/>
  <c r="AM65" i="7"/>
  <c r="AG65" i="7"/>
  <c r="AI64" i="7"/>
  <c r="AH64" i="7"/>
  <c r="AD65" i="7"/>
  <c r="AB66" i="7"/>
  <c r="AC65" i="7"/>
  <c r="W65" i="7"/>
  <c r="Y64" i="7"/>
  <c r="X64" i="7"/>
  <c r="R65" i="7"/>
  <c r="T64" i="7"/>
  <c r="S64" i="7"/>
  <c r="O65" i="7"/>
  <c r="M66" i="7"/>
  <c r="N65" i="7"/>
  <c r="J65" i="7"/>
  <c r="H66" i="7"/>
  <c r="I65" i="7"/>
  <c r="E66" i="7"/>
  <c r="C67" i="7"/>
  <c r="D66" i="7"/>
  <c r="AQ67" i="7" l="1"/>
  <c r="AS66" i="7"/>
  <c r="AR66" i="7"/>
  <c r="AL67" i="7"/>
  <c r="AN66" i="7"/>
  <c r="AM66" i="7"/>
  <c r="AI65" i="7"/>
  <c r="AG66" i="7"/>
  <c r="AH65" i="7"/>
  <c r="AD66" i="7"/>
  <c r="AB67" i="7"/>
  <c r="AC66" i="7"/>
  <c r="Y65" i="7"/>
  <c r="W66" i="7"/>
  <c r="X65" i="7"/>
  <c r="T65" i="7"/>
  <c r="R66" i="7"/>
  <c r="S65" i="7"/>
  <c r="M67" i="7"/>
  <c r="O66" i="7"/>
  <c r="N66" i="7"/>
  <c r="J66" i="7"/>
  <c r="H67" i="7"/>
  <c r="I66" i="7"/>
  <c r="E67" i="7"/>
  <c r="C68" i="7"/>
  <c r="D67" i="7"/>
  <c r="AS67" i="7" l="1"/>
  <c r="AQ68" i="7"/>
  <c r="AR67" i="7"/>
  <c r="AN67" i="7"/>
  <c r="AL68" i="7"/>
  <c r="AM67" i="7"/>
  <c r="AI66" i="7"/>
  <c r="AG67" i="7"/>
  <c r="AH66" i="7"/>
  <c r="AD67" i="7"/>
  <c r="AB68" i="7"/>
  <c r="AC67" i="7"/>
  <c r="W67" i="7"/>
  <c r="Y66" i="7"/>
  <c r="X66" i="7"/>
  <c r="R67" i="7"/>
  <c r="T66" i="7"/>
  <c r="S66" i="7"/>
  <c r="O67" i="7"/>
  <c r="M68" i="7"/>
  <c r="N67" i="7"/>
  <c r="J67" i="7"/>
  <c r="H68" i="7"/>
  <c r="I67" i="7"/>
  <c r="C69" i="7"/>
  <c r="E68" i="7"/>
  <c r="D68" i="7"/>
  <c r="AQ69" i="7" l="1"/>
  <c r="AS68" i="7"/>
  <c r="AR68" i="7"/>
  <c r="AL69" i="7"/>
  <c r="AN68" i="7"/>
  <c r="AM68" i="7"/>
  <c r="AI67" i="7"/>
  <c r="AG68" i="7"/>
  <c r="AH67" i="7"/>
  <c r="AD68" i="7"/>
  <c r="AB69" i="7"/>
  <c r="AC68" i="7"/>
  <c r="Y67" i="7"/>
  <c r="W68" i="7"/>
  <c r="X67" i="7"/>
  <c r="T67" i="7"/>
  <c r="R68" i="7"/>
  <c r="S67" i="7"/>
  <c r="M69" i="7"/>
  <c r="O68" i="7"/>
  <c r="N68" i="7"/>
  <c r="J68" i="7"/>
  <c r="H69" i="7"/>
  <c r="I68" i="7"/>
  <c r="C70" i="7"/>
  <c r="E69" i="7"/>
  <c r="D69" i="7"/>
  <c r="AS69" i="7" l="1"/>
  <c r="AQ70" i="7"/>
  <c r="AR69" i="7"/>
  <c r="AN69" i="7"/>
  <c r="AL70" i="7"/>
  <c r="AM69" i="7"/>
  <c r="AG69" i="7"/>
  <c r="AI68" i="7"/>
  <c r="AH68" i="7"/>
  <c r="AD69" i="7"/>
  <c r="AB70" i="7"/>
  <c r="AC69" i="7"/>
  <c r="W69" i="7"/>
  <c r="Y68" i="7"/>
  <c r="X68" i="7"/>
  <c r="R69" i="7"/>
  <c r="T68" i="7"/>
  <c r="S68" i="7"/>
  <c r="O69" i="7"/>
  <c r="M70" i="7"/>
  <c r="N69" i="7"/>
  <c r="J69" i="7"/>
  <c r="H70" i="7"/>
  <c r="I69" i="7"/>
  <c r="C71" i="7"/>
  <c r="E70" i="7"/>
  <c r="D70" i="7"/>
  <c r="AQ71" i="7" l="1"/>
  <c r="AS70" i="7"/>
  <c r="AR70" i="7"/>
  <c r="AL71" i="7"/>
  <c r="AN70" i="7"/>
  <c r="AM70" i="7"/>
  <c r="AI69" i="7"/>
  <c r="AG70" i="7"/>
  <c r="AH69" i="7"/>
  <c r="AD70" i="7"/>
  <c r="AB71" i="7"/>
  <c r="AC70" i="7"/>
  <c r="Y69" i="7"/>
  <c r="W70" i="7"/>
  <c r="X69" i="7"/>
  <c r="T69" i="7"/>
  <c r="R70" i="7"/>
  <c r="S69" i="7"/>
  <c r="M71" i="7"/>
  <c r="O70" i="7"/>
  <c r="N70" i="7"/>
  <c r="H71" i="7"/>
  <c r="J70" i="7"/>
  <c r="I70" i="7"/>
  <c r="E71" i="7"/>
  <c r="C72" i="7"/>
  <c r="D71" i="7"/>
  <c r="AS71" i="7" l="1"/>
  <c r="AQ72" i="7"/>
  <c r="AR71" i="7"/>
  <c r="AN71" i="7"/>
  <c r="AL72" i="7"/>
  <c r="AM71" i="7"/>
  <c r="AI70" i="7"/>
  <c r="AG71" i="7"/>
  <c r="AH70" i="7"/>
  <c r="AD71" i="7"/>
  <c r="AB72" i="7"/>
  <c r="AC71" i="7"/>
  <c r="W71" i="7"/>
  <c r="Y70" i="7"/>
  <c r="X70" i="7"/>
  <c r="R71" i="7"/>
  <c r="T70" i="7"/>
  <c r="S70" i="7"/>
  <c r="O71" i="7"/>
  <c r="M72" i="7"/>
  <c r="N71" i="7"/>
  <c r="J71" i="7"/>
  <c r="H72" i="7"/>
  <c r="I71" i="7"/>
  <c r="E72" i="7"/>
  <c r="C73" i="7"/>
  <c r="D72" i="7"/>
  <c r="AQ73" i="7" l="1"/>
  <c r="AS72" i="7"/>
  <c r="AR72" i="7"/>
  <c r="AL73" i="7"/>
  <c r="AN72" i="7"/>
  <c r="AM72" i="7"/>
  <c r="AI71" i="7"/>
  <c r="AG72" i="7"/>
  <c r="AH71" i="7"/>
  <c r="AB73" i="7"/>
  <c r="AD72" i="7"/>
  <c r="AC72" i="7"/>
  <c r="Y71" i="7"/>
  <c r="W72" i="7"/>
  <c r="X71" i="7"/>
  <c r="T71" i="7"/>
  <c r="R72" i="7"/>
  <c r="S71" i="7"/>
  <c r="M73" i="7"/>
  <c r="O72" i="7"/>
  <c r="N72" i="7"/>
  <c r="J72" i="7"/>
  <c r="H73" i="7"/>
  <c r="I72" i="7"/>
  <c r="C74" i="7"/>
  <c r="E73" i="7"/>
  <c r="D73" i="7"/>
  <c r="AS73" i="7" l="1"/>
  <c r="AQ74" i="7"/>
  <c r="AR73" i="7"/>
  <c r="AN73" i="7"/>
  <c r="AL74" i="7"/>
  <c r="AM73" i="7"/>
  <c r="AG73" i="7"/>
  <c r="AI72" i="7"/>
  <c r="AH72" i="7"/>
  <c r="AD73" i="7"/>
  <c r="AB74" i="7"/>
  <c r="AC73" i="7"/>
  <c r="W73" i="7"/>
  <c r="Y72" i="7"/>
  <c r="X72" i="7"/>
  <c r="R73" i="7"/>
  <c r="T72" i="7"/>
  <c r="S72" i="7"/>
  <c r="O73" i="7"/>
  <c r="M74" i="7"/>
  <c r="N73" i="7"/>
  <c r="J73" i="7"/>
  <c r="H74" i="7"/>
  <c r="I73" i="7"/>
  <c r="C75" i="7"/>
  <c r="E74" i="7"/>
  <c r="D74" i="7"/>
  <c r="AQ75" i="7" l="1"/>
  <c r="AS74" i="7"/>
  <c r="AR74" i="7"/>
  <c r="AL75" i="7"/>
  <c r="AN74" i="7"/>
  <c r="AM74" i="7"/>
  <c r="AI73" i="7"/>
  <c r="AG74" i="7"/>
  <c r="AH73" i="7"/>
  <c r="AD74" i="7"/>
  <c r="AB75" i="7"/>
  <c r="AC74" i="7"/>
  <c r="Y73" i="7"/>
  <c r="W74" i="7"/>
  <c r="X73" i="7"/>
  <c r="T73" i="7"/>
  <c r="R74" i="7"/>
  <c r="S73" i="7"/>
  <c r="O74" i="7"/>
  <c r="M75" i="7"/>
  <c r="N74" i="7"/>
  <c r="H75" i="7"/>
  <c r="J74" i="7"/>
  <c r="I74" i="7"/>
  <c r="E75" i="7"/>
  <c r="C76" i="7"/>
  <c r="D75" i="7"/>
  <c r="AS75" i="7" l="1"/>
  <c r="AQ76" i="7"/>
  <c r="AR75" i="7"/>
  <c r="AN75" i="7"/>
  <c r="AL76" i="7"/>
  <c r="AM75" i="7"/>
  <c r="AI74" i="7"/>
  <c r="AG75" i="7"/>
  <c r="AH74" i="7"/>
  <c r="AD75" i="7"/>
  <c r="AB76" i="7"/>
  <c r="AC75" i="7"/>
  <c r="W75" i="7"/>
  <c r="Y74" i="7"/>
  <c r="X74" i="7"/>
  <c r="R75" i="7"/>
  <c r="T74" i="7"/>
  <c r="S74" i="7"/>
  <c r="O75" i="7"/>
  <c r="M76" i="7"/>
  <c r="N75" i="7"/>
  <c r="J75" i="7"/>
  <c r="H76" i="7"/>
  <c r="I75" i="7"/>
  <c r="C77" i="7"/>
  <c r="B77" i="7" s="1"/>
  <c r="E76" i="7"/>
  <c r="D76" i="7"/>
  <c r="AQ77" i="7" l="1"/>
  <c r="AS76" i="7"/>
  <c r="AR76" i="7"/>
  <c r="AL77" i="7"/>
  <c r="AN76" i="7"/>
  <c r="AM76" i="7"/>
  <c r="AI75" i="7"/>
  <c r="AG76" i="7"/>
  <c r="AH75" i="7"/>
  <c r="AD76" i="7"/>
  <c r="AB77" i="7"/>
  <c r="AC76" i="7"/>
  <c r="Y75" i="7"/>
  <c r="W76" i="7"/>
  <c r="X75" i="7"/>
  <c r="T75" i="7"/>
  <c r="R76" i="7"/>
  <c r="S75" i="7"/>
  <c r="O76" i="7"/>
  <c r="M77" i="7"/>
  <c r="N76" i="7"/>
  <c r="J76" i="7"/>
  <c r="H77" i="7"/>
  <c r="I76" i="7"/>
  <c r="E77" i="7"/>
  <c r="D77" i="7"/>
  <c r="AP77" i="7" l="1"/>
  <c r="AR77" i="7" s="1"/>
  <c r="AK77" i="7"/>
  <c r="AM77" i="7" s="1"/>
  <c r="AG77" i="7"/>
  <c r="AI76" i="7"/>
  <c r="AH76" i="7"/>
  <c r="AA77" i="7"/>
  <c r="AC77" i="7" s="1"/>
  <c r="W77" i="7"/>
  <c r="Y76" i="7"/>
  <c r="X76" i="7"/>
  <c r="R77" i="7"/>
  <c r="T76" i="7"/>
  <c r="S76" i="7"/>
  <c r="L77" i="7"/>
  <c r="N77" i="7" s="1"/>
  <c r="G77" i="7"/>
  <c r="I77" i="7" s="1"/>
  <c r="AN77" i="7" l="1"/>
  <c r="AS77" i="7"/>
  <c r="AF77" i="7"/>
  <c r="AH77" i="7" s="1"/>
  <c r="AD77" i="7"/>
  <c r="V77" i="7"/>
  <c r="X77" i="7" s="1"/>
  <c r="Q77" i="7"/>
  <c r="S77" i="7" s="1"/>
  <c r="O77" i="7"/>
  <c r="J77" i="7"/>
  <c r="AI77" i="7" l="1"/>
  <c r="Y77" i="7"/>
  <c r="T77" i="7"/>
</calcChain>
</file>

<file path=xl/sharedStrings.xml><?xml version="1.0" encoding="utf-8"?>
<sst xmlns="http://schemas.openxmlformats.org/spreadsheetml/2006/main" count="497" uniqueCount="82">
  <si>
    <t>X</t>
  </si>
  <si>
    <t>Y</t>
  </si>
  <si>
    <t>A</t>
  </si>
  <si>
    <t>B</t>
  </si>
  <si>
    <t>C</t>
  </si>
  <si>
    <t>D</t>
  </si>
  <si>
    <t>Label</t>
  </si>
  <si>
    <t>From</t>
  </si>
  <si>
    <t>To</t>
  </si>
  <si>
    <t>From X</t>
  </si>
  <si>
    <t>From Y</t>
  </si>
  <si>
    <t>To X</t>
  </si>
  <si>
    <t>To Y</t>
  </si>
  <si>
    <t>Distance</t>
  </si>
  <si>
    <t>Lane</t>
  </si>
  <si>
    <t>From Survey</t>
  </si>
  <si>
    <t>Delta</t>
  </si>
  <si>
    <t>800m</t>
  </si>
  <si>
    <t>Inside Radius</t>
  </si>
  <si>
    <t>Line of Running Radius</t>
  </si>
  <si>
    <t>Distance A</t>
  </si>
  <si>
    <t>Distance B</t>
  </si>
  <si>
    <t>Distance C</t>
  </si>
  <si>
    <t>Distance D</t>
  </si>
  <si>
    <t>Distance A+B</t>
  </si>
  <si>
    <t>Distance A+B+C</t>
  </si>
  <si>
    <t>Distance A+B+C+D</t>
  </si>
  <si>
    <t>Dist</t>
  </si>
  <si>
    <t>Landmarks</t>
  </si>
  <si>
    <t>200m</t>
  </si>
  <si>
    <t>400m</t>
  </si>
  <si>
    <t>Finish</t>
  </si>
  <si>
    <t>Hurdles</t>
  </si>
  <si>
    <t>Flight</t>
  </si>
  <si>
    <t>Calculation Template</t>
  </si>
  <si>
    <t>Bend Delta</t>
  </si>
  <si>
    <t>3000m</t>
  </si>
  <si>
    <t>1500m</t>
  </si>
  <si>
    <t>DH</t>
  </si>
  <si>
    <t>DH (Y)</t>
  </si>
  <si>
    <t>Manually Entered (Approx eyeballed and validated with NIC (1))</t>
  </si>
  <si>
    <t>NIP (B)</t>
  </si>
  <si>
    <t>NIP (A)</t>
  </si>
  <si>
    <t>NIP (D)</t>
  </si>
  <si>
    <t>NIP (C)</t>
  </si>
  <si>
    <t>NIC (1500)</t>
  </si>
  <si>
    <t>NIC (800)</t>
  </si>
  <si>
    <t>NIC (400)</t>
  </si>
  <si>
    <t>DH (SP2)</t>
  </si>
  <si>
    <t>DH (SP7)</t>
  </si>
  <si>
    <t>DH (SP6)</t>
  </si>
  <si>
    <t>NIP (X)</t>
  </si>
  <si>
    <t>NIC (MH)</t>
  </si>
  <si>
    <t>Manually Entered (Based on DH (SP2) distances)</t>
  </si>
  <si>
    <t>Manually Entered (Calculated from first principles: 200m stagger minus the small delta due to 800m break arc)</t>
  </si>
  <si>
    <t>(Calculated from first principles)</t>
  </si>
  <si>
    <t>Home Straight Start</t>
  </si>
  <si>
    <t>NIP (HS1)</t>
  </si>
  <si>
    <t>NIP (HS2)</t>
  </si>
  <si>
    <t>Home Straight Lane 1</t>
  </si>
  <si>
    <t>Home Straight Lane 2</t>
  </si>
  <si>
    <t>Home Straight Lane 3</t>
  </si>
  <si>
    <t>Home Straight Lane 4</t>
  </si>
  <si>
    <t>Home Straight Lane 5</t>
  </si>
  <si>
    <t>Home Straight Lane 6</t>
  </si>
  <si>
    <t>Home Straight Lane 7</t>
  </si>
  <si>
    <t>Home Straight Lane 8</t>
  </si>
  <si>
    <t>Home Straight Lane 9</t>
  </si>
  <si>
    <t>Page 2 - Tracks and Starts</t>
  </si>
  <si>
    <t>Page 3 - 4x100 Relay</t>
  </si>
  <si>
    <t>Page 3 - Alternatives</t>
  </si>
  <si>
    <t>Page 4 - Hurdles</t>
  </si>
  <si>
    <t>Calculations</t>
  </si>
  <si>
    <t>Sheet</t>
  </si>
  <si>
    <t>From:</t>
  </si>
  <si>
    <t>To:</t>
  </si>
  <si>
    <t>Distance:</t>
  </si>
  <si>
    <t>Measure</t>
  </si>
  <si>
    <t>Starts</t>
  </si>
  <si>
    <t>Relays</t>
  </si>
  <si>
    <t>Lane Widths</t>
  </si>
  <si>
    <t>H-1-6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</si>
</sst>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2" fontId="0" fillId="2" borderId="0" xfId="0" applyNumberFormat="1" applyFill="1"/>
    <xf numFmtId="2" fontId="0" fillId="3" borderId="0" xfId="0" applyNumberFormat="1" applyFill="1"/>
    <xf numFmtId="0" fontId="0" fillId="3" borderId="0" xfId="0" applyFill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  <xf numFmtId="0" fontId="0" fillId="0" borderId="3" xfId="0" applyBorder="1"/>
    <xf numFmtId="2" fontId="0" fillId="0" borderId="3" xfId="0" applyNumberFormat="1" applyBorder="1"/>
    <xf numFmtId="2" fontId="0" fillId="0" borderId="4" xfId="0" applyNumberFormat="1" applyBorder="1"/>
    <xf numFmtId="0" fontId="0" fillId="0" borderId="5" xfId="0" applyBorder="1" applyAlignment="1">
      <alignment horizontal="left"/>
    </xf>
    <xf numFmtId="0" fontId="0" fillId="0" borderId="0" xfId="0" applyAlignment="1">
      <alignment horizontal="right"/>
    </xf>
    <xf numFmtId="2" fontId="0" fillId="0" borderId="6" xfId="0" applyNumberFormat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2" fontId="0" fillId="0" borderId="9" xfId="0" applyNumberFormat="1" applyBorder="1"/>
    <xf numFmtId="0" fontId="0" fillId="0" borderId="2" xfId="0" applyBorder="1"/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6" xfId="0" applyBorder="1"/>
    <xf numFmtId="0" fontId="0" fillId="0" borderId="9" xfId="0" applyBorder="1"/>
    <xf numFmtId="0" fontId="0" fillId="0" borderId="4" xfId="0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0" fontId="0" fillId="0" borderId="13" xfId="0" applyBorder="1"/>
    <xf numFmtId="2" fontId="0" fillId="0" borderId="14" xfId="0" applyNumberFormat="1" applyBorder="1"/>
    <xf numFmtId="2" fontId="0" fillId="0" borderId="15" xfId="0" applyNumberFormat="1" applyBorder="1"/>
    <xf numFmtId="2" fontId="0" fillId="0" borderId="1" xfId="0" applyNumberFormat="1" applyBorder="1"/>
    <xf numFmtId="0" fontId="0" fillId="0" borderId="15" xfId="0" applyBorder="1"/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4" borderId="6" xfId="0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1" xfId="0" applyBorder="1"/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Lanes!$A$1</c:f>
              <c:strCache>
                <c:ptCount val="1"/>
                <c:pt idx="0">
                  <c:v>Lane 1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Lanes!$D$3:$D$77</c:f>
              <c:numCache>
                <c:formatCode>0.00</c:formatCode>
                <c:ptCount val="75"/>
                <c:pt idx="0">
                  <c:v>76.89</c:v>
                </c:pt>
                <c:pt idx="1">
                  <c:v>0</c:v>
                </c:pt>
                <c:pt idx="2">
                  <c:v>-3.3982024097311876</c:v>
                </c:pt>
                <c:pt idx="3">
                  <c:v>-6.7705424472336206</c:v>
                </c:pt>
                <c:pt idx="4">
                  <c:v>-10.091354568547287</c:v>
                </c:pt>
                <c:pt idx="5">
                  <c:v>-13.335365388267821</c:v>
                </c:pt>
                <c:pt idx="6">
                  <c:v>-16.477886025269868</c:v>
                </c:pt>
                <c:pt idx="7">
                  <c:v>-19.495000000000001</c:v>
                </c:pt>
                <c:pt idx="8">
                  <c:v>-22.363745253327281</c:v>
                </c:pt>
                <c:pt idx="9">
                  <c:v>-25.062288901678166</c:v>
                </c:pt>
                <c:pt idx="10">
                  <c:v>-27.570093398463491</c:v>
                </c:pt>
                <c:pt idx="11">
                  <c:v>-29.868072837208953</c:v>
                </c:pt>
                <c:pt idx="12">
                  <c:v>-31.938738206827786</c:v>
                </c:pt>
                <c:pt idx="13">
                  <c:v>-33.766330493555259</c:v>
                </c:pt>
                <c:pt idx="14">
                  <c:v>-35.336940616558984</c:v>
                </c:pt>
                <c:pt idx="15">
                  <c:v>-36.638615284442572</c:v>
                </c:pt>
                <c:pt idx="16">
                  <c:v>-37.661447967010773</c:v>
                </c:pt>
                <c:pt idx="17">
                  <c:v>-38.39765428994599</c:v>
                </c:pt>
                <c:pt idx="18">
                  <c:v>-38.841631278597163</c:v>
                </c:pt>
                <c:pt idx="19">
                  <c:v>-38.99</c:v>
                </c:pt>
                <c:pt idx="20">
                  <c:v>-38.841631278597163</c:v>
                </c:pt>
                <c:pt idx="21">
                  <c:v>-38.39765428994599</c:v>
                </c:pt>
                <c:pt idx="22">
                  <c:v>-37.661447967010773</c:v>
                </c:pt>
                <c:pt idx="23">
                  <c:v>-36.638615284442565</c:v>
                </c:pt>
                <c:pt idx="24">
                  <c:v>-35.336940616558984</c:v>
                </c:pt>
                <c:pt idx="25">
                  <c:v>-33.766330493555266</c:v>
                </c:pt>
                <c:pt idx="26">
                  <c:v>-31.938738206827786</c:v>
                </c:pt>
                <c:pt idx="27">
                  <c:v>-29.868072837208967</c:v>
                </c:pt>
                <c:pt idx="28">
                  <c:v>-27.570093398463477</c:v>
                </c:pt>
                <c:pt idx="29">
                  <c:v>-25.062288901678176</c:v>
                </c:pt>
                <c:pt idx="30">
                  <c:v>-22.363745253327281</c:v>
                </c:pt>
                <c:pt idx="31">
                  <c:v>-19.494999999999997</c:v>
                </c:pt>
                <c:pt idx="32">
                  <c:v>-16.477886025269875</c:v>
                </c:pt>
                <c:pt idx="33">
                  <c:v>-13.33536538826783</c:v>
                </c:pt>
                <c:pt idx="34">
                  <c:v>-10.091354568547313</c:v>
                </c:pt>
                <c:pt idx="35">
                  <c:v>-6.7705424472335949</c:v>
                </c:pt>
                <c:pt idx="36">
                  <c:v>-3.3982024097311934</c:v>
                </c:pt>
                <c:pt idx="37">
                  <c:v>-4.7748978698755303E-15</c:v>
                </c:pt>
                <c:pt idx="38">
                  <c:v>76.889999999999986</c:v>
                </c:pt>
                <c:pt idx="39">
                  <c:v>80.288202409731198</c:v>
                </c:pt>
                <c:pt idx="40">
                  <c:v>83.660542447233624</c:v>
                </c:pt>
                <c:pt idx="41">
                  <c:v>86.981354568547303</c:v>
                </c:pt>
                <c:pt idx="42">
                  <c:v>90.225365388267804</c:v>
                </c:pt>
                <c:pt idx="43">
                  <c:v>93.367886025269868</c:v>
                </c:pt>
                <c:pt idx="44">
                  <c:v>96.384999999999977</c:v>
                </c:pt>
                <c:pt idx="45">
                  <c:v>99.253745253327295</c:v>
                </c:pt>
                <c:pt idx="46">
                  <c:v>101.95228890167817</c:v>
                </c:pt>
                <c:pt idx="47">
                  <c:v>104.46009339846348</c:v>
                </c:pt>
                <c:pt idx="48">
                  <c:v>106.75807283720897</c:v>
                </c:pt>
                <c:pt idx="49">
                  <c:v>108.82873820682778</c:v>
                </c:pt>
                <c:pt idx="50">
                  <c:v>110.65633049355526</c:v>
                </c:pt>
                <c:pt idx="51">
                  <c:v>112.22694061655896</c:v>
                </c:pt>
                <c:pt idx="52">
                  <c:v>113.52861528444257</c:v>
                </c:pt>
                <c:pt idx="53">
                  <c:v>114.55144796701077</c:v>
                </c:pt>
                <c:pt idx="54">
                  <c:v>115.28765428994599</c:v>
                </c:pt>
                <c:pt idx="55">
                  <c:v>115.73163127859716</c:v>
                </c:pt>
                <c:pt idx="56">
                  <c:v>115.88</c:v>
                </c:pt>
                <c:pt idx="57">
                  <c:v>115.73163127859716</c:v>
                </c:pt>
                <c:pt idx="58">
                  <c:v>115.287654289946</c:v>
                </c:pt>
                <c:pt idx="59">
                  <c:v>114.55144796701077</c:v>
                </c:pt>
                <c:pt idx="60">
                  <c:v>113.52861528444257</c:v>
                </c:pt>
                <c:pt idx="61">
                  <c:v>112.22694061655898</c:v>
                </c:pt>
                <c:pt idx="62">
                  <c:v>110.65633049355526</c:v>
                </c:pt>
                <c:pt idx="63">
                  <c:v>108.82873820682779</c:v>
                </c:pt>
                <c:pt idx="64">
                  <c:v>106.75807283720896</c:v>
                </c:pt>
                <c:pt idx="65">
                  <c:v>104.4600933984635</c:v>
                </c:pt>
                <c:pt idx="66">
                  <c:v>101.95228890167817</c:v>
                </c:pt>
                <c:pt idx="67">
                  <c:v>99.25374525332731</c:v>
                </c:pt>
                <c:pt idx="68">
                  <c:v>96.385000000000019</c:v>
                </c:pt>
                <c:pt idx="69">
                  <c:v>93.367886025269868</c:v>
                </c:pt>
                <c:pt idx="70">
                  <c:v>90.225365388267818</c:v>
                </c:pt>
                <c:pt idx="71">
                  <c:v>86.981354568547289</c:v>
                </c:pt>
                <c:pt idx="72">
                  <c:v>83.660542447233652</c:v>
                </c:pt>
                <c:pt idx="73">
                  <c:v>80.288202409731198</c:v>
                </c:pt>
                <c:pt idx="74">
                  <c:v>76.890000000000015</c:v>
                </c:pt>
              </c:numCache>
            </c:numRef>
          </c:xVal>
          <c:yVal>
            <c:numRef>
              <c:f>Lanes!$E$3:$E$77</c:f>
              <c:numCache>
                <c:formatCode>0.00</c:formatCode>
                <c:ptCount val="75"/>
                <c:pt idx="0">
                  <c:v>-38.99</c:v>
                </c:pt>
                <c:pt idx="1">
                  <c:v>-38.99</c:v>
                </c:pt>
                <c:pt idx="2">
                  <c:v>-38.841631278597163</c:v>
                </c:pt>
                <c:pt idx="3">
                  <c:v>-38.39765428994599</c:v>
                </c:pt>
                <c:pt idx="4">
                  <c:v>-37.661447967010773</c:v>
                </c:pt>
                <c:pt idx="5">
                  <c:v>-36.638615284442572</c:v>
                </c:pt>
                <c:pt idx="6">
                  <c:v>-35.336940616558984</c:v>
                </c:pt>
                <c:pt idx="7">
                  <c:v>-33.766330493555266</c:v>
                </c:pt>
                <c:pt idx="8">
                  <c:v>-31.938738206827797</c:v>
                </c:pt>
                <c:pt idx="9">
                  <c:v>-29.86807283720896</c:v>
                </c:pt>
                <c:pt idx="10">
                  <c:v>-27.570093398463488</c:v>
                </c:pt>
                <c:pt idx="11">
                  <c:v>-25.062288901678173</c:v>
                </c:pt>
                <c:pt idx="12">
                  <c:v>-22.363745253327291</c:v>
                </c:pt>
                <c:pt idx="13">
                  <c:v>-19.495000000000015</c:v>
                </c:pt>
                <c:pt idx="14">
                  <c:v>-16.477886025269871</c:v>
                </c:pt>
                <c:pt idx="15">
                  <c:v>-13.335365388267819</c:v>
                </c:pt>
                <c:pt idx="16">
                  <c:v>-10.091354568547276</c:v>
                </c:pt>
                <c:pt idx="17">
                  <c:v>-6.7705424472336171</c:v>
                </c:pt>
                <c:pt idx="18">
                  <c:v>-3.3982024097311911</c:v>
                </c:pt>
                <c:pt idx="19">
                  <c:v>-1.1044968080964737E-14</c:v>
                </c:pt>
                <c:pt idx="20">
                  <c:v>3.3982024097311774</c:v>
                </c:pt>
                <c:pt idx="21">
                  <c:v>6.7705424472336304</c:v>
                </c:pt>
                <c:pt idx="22">
                  <c:v>10.091354568547288</c:v>
                </c:pt>
                <c:pt idx="23">
                  <c:v>13.335365388267832</c:v>
                </c:pt>
                <c:pt idx="24">
                  <c:v>16.477886025269868</c:v>
                </c:pt>
                <c:pt idx="25">
                  <c:v>19.494999999999994</c:v>
                </c:pt>
                <c:pt idx="26">
                  <c:v>22.363745253327291</c:v>
                </c:pt>
                <c:pt idx="27">
                  <c:v>25.062288901678158</c:v>
                </c:pt>
                <c:pt idx="28">
                  <c:v>27.570093398463499</c:v>
                </c:pt>
                <c:pt idx="29">
                  <c:v>29.868072837208949</c:v>
                </c:pt>
                <c:pt idx="30">
                  <c:v>31.938738206827797</c:v>
                </c:pt>
                <c:pt idx="31">
                  <c:v>33.766330493555266</c:v>
                </c:pt>
                <c:pt idx="32">
                  <c:v>35.336940616558984</c:v>
                </c:pt>
                <c:pt idx="33">
                  <c:v>36.638615284442565</c:v>
                </c:pt>
                <c:pt idx="34">
                  <c:v>37.661447967010766</c:v>
                </c:pt>
                <c:pt idx="35">
                  <c:v>38.397654289945997</c:v>
                </c:pt>
                <c:pt idx="36">
                  <c:v>38.841631278597163</c:v>
                </c:pt>
                <c:pt idx="37">
                  <c:v>38.99</c:v>
                </c:pt>
                <c:pt idx="38">
                  <c:v>38.99</c:v>
                </c:pt>
                <c:pt idx="39">
                  <c:v>38.841631278597163</c:v>
                </c:pt>
                <c:pt idx="40">
                  <c:v>38.39765428994599</c:v>
                </c:pt>
                <c:pt idx="41">
                  <c:v>37.661447967010773</c:v>
                </c:pt>
                <c:pt idx="42">
                  <c:v>36.638615284442572</c:v>
                </c:pt>
                <c:pt idx="43">
                  <c:v>35.336940616558984</c:v>
                </c:pt>
                <c:pt idx="44">
                  <c:v>33.76633049355528</c:v>
                </c:pt>
                <c:pt idx="45">
                  <c:v>31.938738206827793</c:v>
                </c:pt>
                <c:pt idx="46">
                  <c:v>29.868072837208945</c:v>
                </c:pt>
                <c:pt idx="47">
                  <c:v>27.570093398463495</c:v>
                </c:pt>
                <c:pt idx="48">
                  <c:v>25.062288901678148</c:v>
                </c:pt>
                <c:pt idx="49">
                  <c:v>22.363745253327298</c:v>
                </c:pt>
                <c:pt idx="50">
                  <c:v>19.495000000000019</c:v>
                </c:pt>
                <c:pt idx="51">
                  <c:v>16.477886025269925</c:v>
                </c:pt>
                <c:pt idx="52">
                  <c:v>13.335365388267817</c:v>
                </c:pt>
                <c:pt idx="53">
                  <c:v>10.091354568547279</c:v>
                </c:pt>
                <c:pt idx="54">
                  <c:v>6.7705424472336135</c:v>
                </c:pt>
                <c:pt idx="55">
                  <c:v>3.3982024097311951</c:v>
                </c:pt>
                <c:pt idx="56">
                  <c:v>7.1623468048132947E-15</c:v>
                </c:pt>
                <c:pt idx="57">
                  <c:v>-3.3982024097311814</c:v>
                </c:pt>
                <c:pt idx="58">
                  <c:v>-6.7705424472336002</c:v>
                </c:pt>
                <c:pt idx="59">
                  <c:v>-10.091354568547267</c:v>
                </c:pt>
                <c:pt idx="60">
                  <c:v>-13.335365388267835</c:v>
                </c:pt>
                <c:pt idx="61">
                  <c:v>-16.477886025269878</c:v>
                </c:pt>
                <c:pt idx="62">
                  <c:v>-19.495000000000005</c:v>
                </c:pt>
                <c:pt idx="63">
                  <c:v>-22.363745253327288</c:v>
                </c:pt>
                <c:pt idx="64">
                  <c:v>-25.062288901678166</c:v>
                </c:pt>
                <c:pt idx="65">
                  <c:v>-27.570093398463481</c:v>
                </c:pt>
                <c:pt idx="66">
                  <c:v>-29.868072837208945</c:v>
                </c:pt>
                <c:pt idx="67">
                  <c:v>-31.938738206827782</c:v>
                </c:pt>
                <c:pt idx="68">
                  <c:v>-33.766330493555252</c:v>
                </c:pt>
                <c:pt idx="69">
                  <c:v>-35.336940616558984</c:v>
                </c:pt>
                <c:pt idx="70">
                  <c:v>-36.638615284442572</c:v>
                </c:pt>
                <c:pt idx="71">
                  <c:v>-37.661447967010773</c:v>
                </c:pt>
                <c:pt idx="72">
                  <c:v>-38.39765428994599</c:v>
                </c:pt>
                <c:pt idx="73">
                  <c:v>-38.841631278597163</c:v>
                </c:pt>
                <c:pt idx="74">
                  <c:v>-38.99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7-AF45-B091-CDF912A4707E}"/>
            </c:ext>
          </c:extLst>
        </c:ser>
        <c:ser>
          <c:idx val="1"/>
          <c:order val="1"/>
          <c:tx>
            <c:strRef>
              <c:f>Lanes!$F$1</c:f>
              <c:strCache>
                <c:ptCount val="1"/>
                <c:pt idx="0">
                  <c:v>Lane 2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Lanes!$I$3:$I$77</c:f>
              <c:numCache>
                <c:formatCode>0.00</c:formatCode>
                <c:ptCount val="75"/>
                <c:pt idx="0">
                  <c:v>76.89</c:v>
                </c:pt>
                <c:pt idx="1">
                  <c:v>0</c:v>
                </c:pt>
                <c:pt idx="2">
                  <c:v>-3.50453241588334</c:v>
                </c:pt>
                <c:pt idx="3">
                  <c:v>-6.9823932239872653</c:v>
                </c:pt>
                <c:pt idx="4">
                  <c:v>-10.407113803572361</c:v>
                </c:pt>
                <c:pt idx="5">
                  <c:v>-13.752629963125143</c:v>
                </c:pt>
                <c:pt idx="6">
                  <c:v>-16.993480304593522</c:v>
                </c:pt>
                <c:pt idx="7">
                  <c:v>-20.105</c:v>
                </c:pt>
                <c:pt idx="8">
                  <c:v>-23.063508505675568</c:v>
                </c:pt>
                <c:pt idx="9">
                  <c:v>-25.846489785495745</c:v>
                </c:pt>
                <c:pt idx="10">
                  <c:v>-28.432763671511079</c:v>
                </c:pt>
                <c:pt idx="11">
                  <c:v>-30.802647057814109</c:v>
                </c:pt>
                <c:pt idx="12">
                  <c:v>-32.93810370086036</c:v>
                </c:pt>
                <c:pt idx="13">
                  <c:v>-34.822881486172271</c:v>
                </c:pt>
                <c:pt idx="14">
                  <c:v>-36.442636116743699</c:v>
                </c:pt>
                <c:pt idx="15">
                  <c:v>-37.785040281801372</c:v>
                </c:pt>
                <c:pt idx="16">
                  <c:v>-38.839877475083433</c:v>
                </c:pt>
                <c:pt idx="17">
                  <c:v>-39.599119748620893</c:v>
                </c:pt>
                <c:pt idx="18">
                  <c:v>-40.05698881026909</c:v>
                </c:pt>
                <c:pt idx="19">
                  <c:v>-40.21</c:v>
                </c:pt>
                <c:pt idx="20">
                  <c:v>-40.05698881026909</c:v>
                </c:pt>
                <c:pt idx="21">
                  <c:v>-39.599119748620886</c:v>
                </c:pt>
                <c:pt idx="22">
                  <c:v>-38.839877475083433</c:v>
                </c:pt>
                <c:pt idx="23">
                  <c:v>-37.785040281801372</c:v>
                </c:pt>
                <c:pt idx="24">
                  <c:v>-36.442636116743692</c:v>
                </c:pt>
                <c:pt idx="25">
                  <c:v>-34.822881486172278</c:v>
                </c:pt>
                <c:pt idx="26">
                  <c:v>-32.938103700860367</c:v>
                </c:pt>
                <c:pt idx="27">
                  <c:v>-30.802647057814099</c:v>
                </c:pt>
                <c:pt idx="28">
                  <c:v>-28.432763671511079</c:v>
                </c:pt>
                <c:pt idx="29">
                  <c:v>-25.846489785495738</c:v>
                </c:pt>
                <c:pt idx="30">
                  <c:v>-23.063508505675557</c:v>
                </c:pt>
                <c:pt idx="31">
                  <c:v>-20.104999999999997</c:v>
                </c:pt>
                <c:pt idx="32">
                  <c:v>-16.993480304593525</c:v>
                </c:pt>
                <c:pt idx="33">
                  <c:v>-13.752629963125164</c:v>
                </c:pt>
                <c:pt idx="34">
                  <c:v>-10.40711380357237</c:v>
                </c:pt>
                <c:pt idx="35">
                  <c:v>-6.9823932239872484</c:v>
                </c:pt>
                <c:pt idx="36">
                  <c:v>-3.5045324158833182</c:v>
                </c:pt>
                <c:pt idx="37">
                  <c:v>-4.9243047793715073E-15</c:v>
                </c:pt>
                <c:pt idx="38">
                  <c:v>76.889999999999986</c:v>
                </c:pt>
                <c:pt idx="39">
                  <c:v>80.394532415883333</c:v>
                </c:pt>
                <c:pt idx="40">
                  <c:v>83.872393223987245</c:v>
                </c:pt>
                <c:pt idx="41">
                  <c:v>87.297113803572344</c:v>
                </c:pt>
                <c:pt idx="42">
                  <c:v>90.64262996312516</c:v>
                </c:pt>
                <c:pt idx="43">
                  <c:v>93.883480304593533</c:v>
                </c:pt>
                <c:pt idx="44">
                  <c:v>96.995000000000005</c:v>
                </c:pt>
                <c:pt idx="45">
                  <c:v>99.953508505675572</c:v>
                </c:pt>
                <c:pt idx="46">
                  <c:v>102.73648978549573</c:v>
                </c:pt>
                <c:pt idx="47">
                  <c:v>105.32276367151107</c:v>
                </c:pt>
                <c:pt idx="48">
                  <c:v>107.69264705781413</c:v>
                </c:pt>
                <c:pt idx="49">
                  <c:v>109.82810370086037</c:v>
                </c:pt>
                <c:pt idx="50">
                  <c:v>111.71288148617228</c:v>
                </c:pt>
                <c:pt idx="51">
                  <c:v>113.3326361167437</c:v>
                </c:pt>
                <c:pt idx="52">
                  <c:v>114.67504028180139</c:v>
                </c:pt>
                <c:pt idx="53">
                  <c:v>115.72987747508343</c:v>
                </c:pt>
                <c:pt idx="54">
                  <c:v>116.48911974862088</c:v>
                </c:pt>
                <c:pt idx="55">
                  <c:v>116.94698881026909</c:v>
                </c:pt>
                <c:pt idx="56">
                  <c:v>117.1</c:v>
                </c:pt>
                <c:pt idx="57">
                  <c:v>116.94698881026909</c:v>
                </c:pt>
                <c:pt idx="58">
                  <c:v>116.48911974862089</c:v>
                </c:pt>
                <c:pt idx="59">
                  <c:v>115.72987747508344</c:v>
                </c:pt>
                <c:pt idx="60">
                  <c:v>114.67504028180136</c:v>
                </c:pt>
                <c:pt idx="61">
                  <c:v>113.33263611674371</c:v>
                </c:pt>
                <c:pt idx="62">
                  <c:v>111.71288148617228</c:v>
                </c:pt>
                <c:pt idx="63">
                  <c:v>109.82810370086037</c:v>
                </c:pt>
                <c:pt idx="64">
                  <c:v>107.69264705781411</c:v>
                </c:pt>
                <c:pt idx="65">
                  <c:v>105.32276367151108</c:v>
                </c:pt>
                <c:pt idx="66">
                  <c:v>102.73648978549576</c:v>
                </c:pt>
                <c:pt idx="67">
                  <c:v>99.953508505675586</c:v>
                </c:pt>
                <c:pt idx="68">
                  <c:v>96.995000000000019</c:v>
                </c:pt>
                <c:pt idx="69">
                  <c:v>93.883480304593519</c:v>
                </c:pt>
                <c:pt idx="70">
                  <c:v>90.642629963125131</c:v>
                </c:pt>
                <c:pt idx="71">
                  <c:v>87.297113803572358</c:v>
                </c:pt>
                <c:pt idx="72">
                  <c:v>83.872393223987231</c:v>
                </c:pt>
                <c:pt idx="73">
                  <c:v>80.394532415883347</c:v>
                </c:pt>
                <c:pt idx="74">
                  <c:v>76.890000000000015</c:v>
                </c:pt>
              </c:numCache>
            </c:numRef>
          </c:xVal>
          <c:yVal>
            <c:numRef>
              <c:f>Lanes!$J$3:$J$77</c:f>
              <c:numCache>
                <c:formatCode>0.00</c:formatCode>
                <c:ptCount val="75"/>
                <c:pt idx="0">
                  <c:v>-40.21</c:v>
                </c:pt>
                <c:pt idx="1">
                  <c:v>-40.21</c:v>
                </c:pt>
                <c:pt idx="2">
                  <c:v>-40.05698881026909</c:v>
                </c:pt>
                <c:pt idx="3">
                  <c:v>-39.599119748620886</c:v>
                </c:pt>
                <c:pt idx="4">
                  <c:v>-38.839877475083441</c:v>
                </c:pt>
                <c:pt idx="5">
                  <c:v>-37.785040281801372</c:v>
                </c:pt>
                <c:pt idx="6">
                  <c:v>-36.442636116743692</c:v>
                </c:pt>
                <c:pt idx="7">
                  <c:v>-34.822881486172278</c:v>
                </c:pt>
                <c:pt idx="8">
                  <c:v>-32.93810370086036</c:v>
                </c:pt>
                <c:pt idx="9">
                  <c:v>-30.802647057814106</c:v>
                </c:pt>
                <c:pt idx="10">
                  <c:v>-28.432763671511076</c:v>
                </c:pt>
                <c:pt idx="11">
                  <c:v>-25.846489785495738</c:v>
                </c:pt>
                <c:pt idx="12">
                  <c:v>-23.063508505675568</c:v>
                </c:pt>
                <c:pt idx="13">
                  <c:v>-20.105000000000015</c:v>
                </c:pt>
                <c:pt idx="14">
                  <c:v>-16.993480304593515</c:v>
                </c:pt>
                <c:pt idx="15">
                  <c:v>-13.752629963125143</c:v>
                </c:pt>
                <c:pt idx="16">
                  <c:v>-10.407113803572368</c:v>
                </c:pt>
                <c:pt idx="17">
                  <c:v>-6.9823932239872644</c:v>
                </c:pt>
                <c:pt idx="18">
                  <c:v>-3.5045324158833249</c:v>
                </c:pt>
                <c:pt idx="19">
                  <c:v>-1.1390565953721264E-14</c:v>
                </c:pt>
                <c:pt idx="20">
                  <c:v>3.50453241588332</c:v>
                </c:pt>
                <c:pt idx="21">
                  <c:v>6.9823932239872679</c:v>
                </c:pt>
                <c:pt idx="22">
                  <c:v>10.407113803572379</c:v>
                </c:pt>
                <c:pt idx="23">
                  <c:v>13.752629963125155</c:v>
                </c:pt>
                <c:pt idx="24">
                  <c:v>16.993480304593536</c:v>
                </c:pt>
                <c:pt idx="25">
                  <c:v>20.104999999999993</c:v>
                </c:pt>
                <c:pt idx="26">
                  <c:v>23.063508505675554</c:v>
                </c:pt>
                <c:pt idx="27">
                  <c:v>25.846489785495763</c:v>
                </c:pt>
                <c:pt idx="28">
                  <c:v>28.432763671511076</c:v>
                </c:pt>
                <c:pt idx="29">
                  <c:v>30.802647057814109</c:v>
                </c:pt>
                <c:pt idx="30">
                  <c:v>32.938103700860367</c:v>
                </c:pt>
                <c:pt idx="31">
                  <c:v>34.822881486172278</c:v>
                </c:pt>
                <c:pt idx="32">
                  <c:v>36.442636116743692</c:v>
                </c:pt>
                <c:pt idx="33">
                  <c:v>37.785040281801372</c:v>
                </c:pt>
                <c:pt idx="34">
                  <c:v>38.839877475083433</c:v>
                </c:pt>
                <c:pt idx="35">
                  <c:v>39.599119748620893</c:v>
                </c:pt>
                <c:pt idx="36">
                  <c:v>40.05698881026909</c:v>
                </c:pt>
                <c:pt idx="37">
                  <c:v>40.21</c:v>
                </c:pt>
                <c:pt idx="38">
                  <c:v>40.21</c:v>
                </c:pt>
                <c:pt idx="39">
                  <c:v>40.05698881026909</c:v>
                </c:pt>
                <c:pt idx="40">
                  <c:v>39.599119748620893</c:v>
                </c:pt>
                <c:pt idx="41">
                  <c:v>38.839877475083441</c:v>
                </c:pt>
                <c:pt idx="42">
                  <c:v>37.785040281801372</c:v>
                </c:pt>
                <c:pt idx="43">
                  <c:v>36.442636116743692</c:v>
                </c:pt>
                <c:pt idx="44">
                  <c:v>34.822881486172278</c:v>
                </c:pt>
                <c:pt idx="45">
                  <c:v>32.93810370086036</c:v>
                </c:pt>
                <c:pt idx="46">
                  <c:v>30.80264705781412</c:v>
                </c:pt>
                <c:pt idx="47">
                  <c:v>28.432763671511093</c:v>
                </c:pt>
                <c:pt idx="48">
                  <c:v>25.846489785495727</c:v>
                </c:pt>
                <c:pt idx="49">
                  <c:v>23.063508505675543</c:v>
                </c:pt>
                <c:pt idx="50">
                  <c:v>20.105000000000018</c:v>
                </c:pt>
                <c:pt idx="51">
                  <c:v>16.993480304593515</c:v>
                </c:pt>
                <c:pt idx="52">
                  <c:v>13.752629963125132</c:v>
                </c:pt>
                <c:pt idx="53">
                  <c:v>10.40711380357239</c:v>
                </c:pt>
                <c:pt idx="54">
                  <c:v>6.9823932239873034</c:v>
                </c:pt>
                <c:pt idx="55">
                  <c:v>3.5045324158833382</c:v>
                </c:pt>
                <c:pt idx="56">
                  <c:v>7.3864571690572602E-15</c:v>
                </c:pt>
                <c:pt idx="57">
                  <c:v>-3.504532415883324</c:v>
                </c:pt>
                <c:pt idx="58">
                  <c:v>-6.9823932239872546</c:v>
                </c:pt>
                <c:pt idx="59">
                  <c:v>-10.407113803572342</c:v>
                </c:pt>
                <c:pt idx="60">
                  <c:v>-13.752629963125184</c:v>
                </c:pt>
                <c:pt idx="61">
                  <c:v>-16.993480304593501</c:v>
                </c:pt>
                <c:pt idx="62">
                  <c:v>-20.105000000000004</c:v>
                </c:pt>
                <c:pt idx="63">
                  <c:v>-23.063508505675561</c:v>
                </c:pt>
                <c:pt idx="64">
                  <c:v>-25.846489785495745</c:v>
                </c:pt>
                <c:pt idx="65">
                  <c:v>-28.432763671511069</c:v>
                </c:pt>
                <c:pt idx="66">
                  <c:v>-30.802647057814099</c:v>
                </c:pt>
                <c:pt idx="67">
                  <c:v>-32.938103700860353</c:v>
                </c:pt>
                <c:pt idx="68">
                  <c:v>-34.822881486172271</c:v>
                </c:pt>
                <c:pt idx="69">
                  <c:v>-36.442636116743699</c:v>
                </c:pt>
                <c:pt idx="70">
                  <c:v>-37.785040281801379</c:v>
                </c:pt>
                <c:pt idx="71">
                  <c:v>-38.839877475083441</c:v>
                </c:pt>
                <c:pt idx="72">
                  <c:v>-39.599119748620893</c:v>
                </c:pt>
                <c:pt idx="73">
                  <c:v>-40.05698881026909</c:v>
                </c:pt>
                <c:pt idx="74">
                  <c:v>-40.21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7-AF45-B091-CDF912A4707E}"/>
            </c:ext>
          </c:extLst>
        </c:ser>
        <c:ser>
          <c:idx val="2"/>
          <c:order val="2"/>
          <c:tx>
            <c:strRef>
              <c:f>Lanes!$K$1</c:f>
              <c:strCache>
                <c:ptCount val="1"/>
                <c:pt idx="0">
                  <c:v>Lane 3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Lanes!$N$3:$N$77</c:f>
              <c:numCache>
                <c:formatCode>0.00</c:formatCode>
                <c:ptCount val="75"/>
                <c:pt idx="0">
                  <c:v>76.89</c:v>
                </c:pt>
                <c:pt idx="1">
                  <c:v>0</c:v>
                </c:pt>
                <c:pt idx="2">
                  <c:v>-3.6108624220354777</c:v>
                </c:pt>
                <c:pt idx="3">
                  <c:v>-7.1942440007409232</c:v>
                </c:pt>
                <c:pt idx="4">
                  <c:v>-10.722873038597434</c:v>
                </c:pt>
                <c:pt idx="5">
                  <c:v>-14.169894537982454</c:v>
                </c:pt>
                <c:pt idx="6">
                  <c:v>-17.509074583917176</c:v>
                </c:pt>
                <c:pt idx="7">
                  <c:v>-20.714999999999996</c:v>
                </c:pt>
                <c:pt idx="8">
                  <c:v>-23.763271758023837</c:v>
                </c:pt>
                <c:pt idx="9">
                  <c:v>-26.630690669313321</c:v>
                </c:pt>
                <c:pt idx="10">
                  <c:v>-29.29543394455866</c:v>
                </c:pt>
                <c:pt idx="11">
                  <c:v>-31.737221278419259</c:v>
                </c:pt>
                <c:pt idx="12">
                  <c:v>-33.937469194892927</c:v>
                </c:pt>
                <c:pt idx="13">
                  <c:v>-35.87943247878929</c:v>
                </c:pt>
                <c:pt idx="14">
                  <c:v>-37.548331616928408</c:v>
                </c:pt>
                <c:pt idx="15">
                  <c:v>-38.931465279160179</c:v>
                </c:pt>
                <c:pt idx="16">
                  <c:v>-40.018306983156101</c:v>
                </c:pt>
                <c:pt idx="17">
                  <c:v>-40.800585207295775</c:v>
                </c:pt>
                <c:pt idx="18">
                  <c:v>-41.272346341941017</c:v>
                </c:pt>
                <c:pt idx="19">
                  <c:v>-41.43</c:v>
                </c:pt>
                <c:pt idx="20">
                  <c:v>-41.272346341941017</c:v>
                </c:pt>
                <c:pt idx="21">
                  <c:v>-40.800585207295782</c:v>
                </c:pt>
                <c:pt idx="22">
                  <c:v>-40.018306983156101</c:v>
                </c:pt>
                <c:pt idx="23">
                  <c:v>-38.931465279160179</c:v>
                </c:pt>
                <c:pt idx="24">
                  <c:v>-37.548331616928408</c:v>
                </c:pt>
                <c:pt idx="25">
                  <c:v>-35.879432478789312</c:v>
                </c:pt>
                <c:pt idx="26">
                  <c:v>-33.937469194892927</c:v>
                </c:pt>
                <c:pt idx="27">
                  <c:v>-31.737221278419248</c:v>
                </c:pt>
                <c:pt idx="28">
                  <c:v>-29.295433944558667</c:v>
                </c:pt>
                <c:pt idx="29">
                  <c:v>-26.630690669313346</c:v>
                </c:pt>
                <c:pt idx="30">
                  <c:v>-23.763271758023834</c:v>
                </c:pt>
                <c:pt idx="31">
                  <c:v>-20.714999999999982</c:v>
                </c:pt>
                <c:pt idx="32">
                  <c:v>-17.50907458391718</c:v>
                </c:pt>
                <c:pt idx="33">
                  <c:v>-14.169894537982479</c:v>
                </c:pt>
                <c:pt idx="34">
                  <c:v>-10.722873038597445</c:v>
                </c:pt>
                <c:pt idx="35">
                  <c:v>-7.1942440007409028</c:v>
                </c:pt>
                <c:pt idx="36">
                  <c:v>-3.610862422035479</c:v>
                </c:pt>
                <c:pt idx="37">
                  <c:v>-5.0737116888674843E-15</c:v>
                </c:pt>
                <c:pt idx="38">
                  <c:v>76.889999999999986</c:v>
                </c:pt>
                <c:pt idx="39">
                  <c:v>80.500862422035482</c:v>
                </c:pt>
                <c:pt idx="40">
                  <c:v>84.084244000740895</c:v>
                </c:pt>
                <c:pt idx="41">
                  <c:v>87.612873038597414</c:v>
                </c:pt>
                <c:pt idx="42">
                  <c:v>91.059894537982458</c:v>
                </c:pt>
                <c:pt idx="43">
                  <c:v>94.399074583917184</c:v>
                </c:pt>
                <c:pt idx="44">
                  <c:v>97.605000000000018</c:v>
                </c:pt>
                <c:pt idx="45">
                  <c:v>100.65327175802383</c:v>
                </c:pt>
                <c:pt idx="46">
                  <c:v>103.52069066931332</c:v>
                </c:pt>
                <c:pt idx="47">
                  <c:v>106.18543394455867</c:v>
                </c:pt>
                <c:pt idx="48">
                  <c:v>108.62722127841926</c:v>
                </c:pt>
                <c:pt idx="49">
                  <c:v>110.82746919489293</c:v>
                </c:pt>
                <c:pt idx="50">
                  <c:v>112.76943247878928</c:v>
                </c:pt>
                <c:pt idx="51">
                  <c:v>114.43833161692841</c:v>
                </c:pt>
                <c:pt idx="52">
                  <c:v>115.82146527916021</c:v>
                </c:pt>
                <c:pt idx="53">
                  <c:v>116.90830698315611</c:v>
                </c:pt>
                <c:pt idx="54">
                  <c:v>117.69058520729578</c:v>
                </c:pt>
                <c:pt idx="55">
                  <c:v>118.16234634194102</c:v>
                </c:pt>
                <c:pt idx="56">
                  <c:v>118.32</c:v>
                </c:pt>
                <c:pt idx="57">
                  <c:v>118.16234634194102</c:v>
                </c:pt>
                <c:pt idx="58">
                  <c:v>117.69058520729578</c:v>
                </c:pt>
                <c:pt idx="59">
                  <c:v>116.90830698315611</c:v>
                </c:pt>
                <c:pt idx="60">
                  <c:v>115.82146527916017</c:v>
                </c:pt>
                <c:pt idx="61">
                  <c:v>114.43833161692839</c:v>
                </c:pt>
                <c:pt idx="62">
                  <c:v>112.7694324787893</c:v>
                </c:pt>
                <c:pt idx="63">
                  <c:v>110.82746919489293</c:v>
                </c:pt>
                <c:pt idx="64">
                  <c:v>108.62722127841926</c:v>
                </c:pt>
                <c:pt idx="65">
                  <c:v>106.18543394455867</c:v>
                </c:pt>
                <c:pt idx="66">
                  <c:v>103.52069066931334</c:v>
                </c:pt>
                <c:pt idx="67">
                  <c:v>100.65327175802386</c:v>
                </c:pt>
                <c:pt idx="68">
                  <c:v>97.604999999999961</c:v>
                </c:pt>
                <c:pt idx="69">
                  <c:v>94.399074583917169</c:v>
                </c:pt>
                <c:pt idx="70">
                  <c:v>91.059894537982444</c:v>
                </c:pt>
                <c:pt idx="71">
                  <c:v>87.612873038597428</c:v>
                </c:pt>
                <c:pt idx="72">
                  <c:v>84.084244000740966</c:v>
                </c:pt>
                <c:pt idx="73">
                  <c:v>80.500862422035482</c:v>
                </c:pt>
                <c:pt idx="74">
                  <c:v>76.890000000000015</c:v>
                </c:pt>
              </c:numCache>
            </c:numRef>
          </c:xVal>
          <c:yVal>
            <c:numRef>
              <c:f>Lanes!$O$3:$O$77</c:f>
              <c:numCache>
                <c:formatCode>0.00</c:formatCode>
                <c:ptCount val="75"/>
                <c:pt idx="0">
                  <c:v>-41.43</c:v>
                </c:pt>
                <c:pt idx="1">
                  <c:v>-41.43</c:v>
                </c:pt>
                <c:pt idx="2">
                  <c:v>-41.272346341941017</c:v>
                </c:pt>
                <c:pt idx="3">
                  <c:v>-40.800585207295775</c:v>
                </c:pt>
                <c:pt idx="4">
                  <c:v>-40.018306983156101</c:v>
                </c:pt>
                <c:pt idx="5">
                  <c:v>-38.931465279160186</c:v>
                </c:pt>
                <c:pt idx="6">
                  <c:v>-37.548331616928408</c:v>
                </c:pt>
                <c:pt idx="7">
                  <c:v>-35.879432478789298</c:v>
                </c:pt>
                <c:pt idx="8">
                  <c:v>-33.937469194892927</c:v>
                </c:pt>
                <c:pt idx="9">
                  <c:v>-31.737221278419259</c:v>
                </c:pt>
                <c:pt idx="10">
                  <c:v>-29.295433944558667</c:v>
                </c:pt>
                <c:pt idx="11">
                  <c:v>-26.630690669313324</c:v>
                </c:pt>
                <c:pt idx="12">
                  <c:v>-23.763271758023837</c:v>
                </c:pt>
                <c:pt idx="13">
                  <c:v>-20.715000000000003</c:v>
                </c:pt>
                <c:pt idx="14">
                  <c:v>-17.509074583917176</c:v>
                </c:pt>
                <c:pt idx="15">
                  <c:v>-14.16989453798246</c:v>
                </c:pt>
                <c:pt idx="16">
                  <c:v>-10.722873038597434</c:v>
                </c:pt>
                <c:pt idx="17">
                  <c:v>-7.1942440007409454</c:v>
                </c:pt>
                <c:pt idx="18">
                  <c:v>-3.6108624220354768</c:v>
                </c:pt>
                <c:pt idx="19">
                  <c:v>6.6624521376103057E-15</c:v>
                </c:pt>
                <c:pt idx="20">
                  <c:v>3.6108624220354808</c:v>
                </c:pt>
                <c:pt idx="21">
                  <c:v>7.1942440007409134</c:v>
                </c:pt>
                <c:pt idx="22">
                  <c:v>10.722873038597438</c:v>
                </c:pt>
                <c:pt idx="23">
                  <c:v>14.16989453798247</c:v>
                </c:pt>
                <c:pt idx="24">
                  <c:v>17.509074583917172</c:v>
                </c:pt>
                <c:pt idx="25">
                  <c:v>20.714999999999979</c:v>
                </c:pt>
                <c:pt idx="26">
                  <c:v>23.763271758023841</c:v>
                </c:pt>
                <c:pt idx="27">
                  <c:v>26.630690669313339</c:v>
                </c:pt>
                <c:pt idx="28">
                  <c:v>29.29543394455866</c:v>
                </c:pt>
                <c:pt idx="29">
                  <c:v>31.737221278419241</c:v>
                </c:pt>
                <c:pt idx="30">
                  <c:v>33.937469194892934</c:v>
                </c:pt>
                <c:pt idx="31">
                  <c:v>35.879432478789305</c:v>
                </c:pt>
                <c:pt idx="32">
                  <c:v>37.548331616928408</c:v>
                </c:pt>
                <c:pt idx="33">
                  <c:v>38.931465279160179</c:v>
                </c:pt>
                <c:pt idx="34">
                  <c:v>40.018306983156094</c:v>
                </c:pt>
                <c:pt idx="35">
                  <c:v>40.800585207295782</c:v>
                </c:pt>
                <c:pt idx="36">
                  <c:v>41.272346341941017</c:v>
                </c:pt>
                <c:pt idx="37">
                  <c:v>41.43</c:v>
                </c:pt>
                <c:pt idx="38">
                  <c:v>41.43</c:v>
                </c:pt>
                <c:pt idx="39">
                  <c:v>41.272346341941017</c:v>
                </c:pt>
                <c:pt idx="40">
                  <c:v>40.800585207295789</c:v>
                </c:pt>
                <c:pt idx="41">
                  <c:v>40.018306983156101</c:v>
                </c:pt>
                <c:pt idx="42">
                  <c:v>38.931465279160186</c:v>
                </c:pt>
                <c:pt idx="43">
                  <c:v>37.548331616928401</c:v>
                </c:pt>
                <c:pt idx="44">
                  <c:v>35.879432478789283</c:v>
                </c:pt>
                <c:pt idx="45">
                  <c:v>33.937469194892941</c:v>
                </c:pt>
                <c:pt idx="46">
                  <c:v>31.737221278419259</c:v>
                </c:pt>
                <c:pt idx="47">
                  <c:v>29.295433944558656</c:v>
                </c:pt>
                <c:pt idx="48">
                  <c:v>26.630690669313331</c:v>
                </c:pt>
                <c:pt idx="49">
                  <c:v>23.763271758023851</c:v>
                </c:pt>
                <c:pt idx="50">
                  <c:v>20.715000000000018</c:v>
                </c:pt>
                <c:pt idx="51">
                  <c:v>17.509074583917165</c:v>
                </c:pt>
                <c:pt idx="52">
                  <c:v>14.169894537982413</c:v>
                </c:pt>
                <c:pt idx="53">
                  <c:v>10.722873038597429</c:v>
                </c:pt>
                <c:pt idx="54">
                  <c:v>7.1942440007409232</c:v>
                </c:pt>
                <c:pt idx="55">
                  <c:v>3.6108624220354812</c:v>
                </c:pt>
                <c:pt idx="56">
                  <c:v>4.4407799461477409E-14</c:v>
                </c:pt>
                <c:pt idx="57">
                  <c:v>-3.6108624220354661</c:v>
                </c:pt>
                <c:pt idx="58">
                  <c:v>-7.194244000740909</c:v>
                </c:pt>
                <c:pt idx="59">
                  <c:v>-10.722873038597415</c:v>
                </c:pt>
                <c:pt idx="60">
                  <c:v>-14.169894537982501</c:v>
                </c:pt>
                <c:pt idx="61">
                  <c:v>-17.509074583917183</c:v>
                </c:pt>
                <c:pt idx="62">
                  <c:v>-20.715000000000003</c:v>
                </c:pt>
                <c:pt idx="63">
                  <c:v>-23.763271758023837</c:v>
                </c:pt>
                <c:pt idx="64">
                  <c:v>-26.630690669313321</c:v>
                </c:pt>
                <c:pt idx="65">
                  <c:v>-29.295433944558656</c:v>
                </c:pt>
                <c:pt idx="66">
                  <c:v>-31.737221278419248</c:v>
                </c:pt>
                <c:pt idx="67">
                  <c:v>-33.93746919489292</c:v>
                </c:pt>
                <c:pt idx="68">
                  <c:v>-35.879432478789319</c:v>
                </c:pt>
                <c:pt idx="69">
                  <c:v>-37.548331616928408</c:v>
                </c:pt>
                <c:pt idx="70">
                  <c:v>-38.931465279160186</c:v>
                </c:pt>
                <c:pt idx="71">
                  <c:v>-40.018306983156101</c:v>
                </c:pt>
                <c:pt idx="72">
                  <c:v>-40.800585207295775</c:v>
                </c:pt>
                <c:pt idx="73">
                  <c:v>-41.272346341941017</c:v>
                </c:pt>
                <c:pt idx="74">
                  <c:v>-41.43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7-AF45-B091-CDF912A4707E}"/>
            </c:ext>
          </c:extLst>
        </c:ser>
        <c:ser>
          <c:idx val="3"/>
          <c:order val="3"/>
          <c:tx>
            <c:strRef>
              <c:f>Lanes!$P$1</c:f>
              <c:strCache>
                <c:ptCount val="1"/>
                <c:pt idx="0">
                  <c:v>Lane 4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Lanes!$S$3:$S$77</c:f>
              <c:numCache>
                <c:formatCode>0.00</c:formatCode>
                <c:ptCount val="75"/>
                <c:pt idx="0">
                  <c:v>76.89</c:v>
                </c:pt>
                <c:pt idx="1">
                  <c:v>0</c:v>
                </c:pt>
                <c:pt idx="2">
                  <c:v>-3.7171924281876159</c:v>
                </c:pt>
                <c:pt idx="3">
                  <c:v>-7.4060947774945847</c:v>
                </c:pt>
                <c:pt idx="4">
                  <c:v>-11.038632273622509</c:v>
                </c:pt>
                <c:pt idx="5">
                  <c:v>-14.587159112839766</c:v>
                </c:pt>
                <c:pt idx="6">
                  <c:v>-18.024668863240834</c:v>
                </c:pt>
                <c:pt idx="7">
                  <c:v>-21.324999999999996</c:v>
                </c:pt>
                <c:pt idx="8">
                  <c:v>-24.46303501037211</c:v>
                </c:pt>
                <c:pt idx="9">
                  <c:v>-27.414891553130904</c:v>
                </c:pt>
                <c:pt idx="10">
                  <c:v>-30.158104217606247</c:v>
                </c:pt>
                <c:pt idx="11">
                  <c:v>-32.671795499024412</c:v>
                </c:pt>
                <c:pt idx="12">
                  <c:v>-34.936834688925501</c:v>
                </c:pt>
                <c:pt idx="13">
                  <c:v>-36.935983471406303</c:v>
                </c:pt>
                <c:pt idx="14">
                  <c:v>-38.654027117113117</c:v>
                </c:pt>
                <c:pt idx="15">
                  <c:v>-40.077890276518993</c:v>
                </c:pt>
                <c:pt idx="16">
                  <c:v>-41.196736491228755</c:v>
                </c:pt>
                <c:pt idx="17">
                  <c:v>-42.002050665970671</c:v>
                </c:pt>
                <c:pt idx="18">
                  <c:v>-42.487703873612944</c:v>
                </c:pt>
                <c:pt idx="19">
                  <c:v>-42.65</c:v>
                </c:pt>
                <c:pt idx="20">
                  <c:v>-42.487703873612944</c:v>
                </c:pt>
                <c:pt idx="21">
                  <c:v>-42.002050665970671</c:v>
                </c:pt>
                <c:pt idx="22">
                  <c:v>-41.196736491228769</c:v>
                </c:pt>
                <c:pt idx="23">
                  <c:v>-40.077890276518986</c:v>
                </c:pt>
                <c:pt idx="24">
                  <c:v>-38.654027117113117</c:v>
                </c:pt>
                <c:pt idx="25">
                  <c:v>-36.935983471406324</c:v>
                </c:pt>
                <c:pt idx="26">
                  <c:v>-34.936834688925494</c:v>
                </c:pt>
                <c:pt idx="27">
                  <c:v>-32.671795499024412</c:v>
                </c:pt>
                <c:pt idx="28">
                  <c:v>-30.158104217606269</c:v>
                </c:pt>
                <c:pt idx="29">
                  <c:v>-27.414891553130907</c:v>
                </c:pt>
                <c:pt idx="30">
                  <c:v>-24.46303501037211</c:v>
                </c:pt>
                <c:pt idx="31">
                  <c:v>-21.324999999999996</c:v>
                </c:pt>
                <c:pt idx="32">
                  <c:v>-18.024668863240816</c:v>
                </c:pt>
                <c:pt idx="33">
                  <c:v>-14.587159112839776</c:v>
                </c:pt>
                <c:pt idx="34">
                  <c:v>-11.03863227362254</c:v>
                </c:pt>
                <c:pt idx="35">
                  <c:v>-7.4060947774945758</c:v>
                </c:pt>
                <c:pt idx="36">
                  <c:v>-3.717192428187603</c:v>
                </c:pt>
                <c:pt idx="37">
                  <c:v>-5.2231185983634613E-15</c:v>
                </c:pt>
                <c:pt idx="38">
                  <c:v>76.889999999999986</c:v>
                </c:pt>
                <c:pt idx="39">
                  <c:v>80.607192428187588</c:v>
                </c:pt>
                <c:pt idx="40">
                  <c:v>84.296094777494602</c:v>
                </c:pt>
                <c:pt idx="41">
                  <c:v>87.928632273622512</c:v>
                </c:pt>
                <c:pt idx="42">
                  <c:v>91.477159112839743</c:v>
                </c:pt>
                <c:pt idx="43">
                  <c:v>94.914668863240848</c:v>
                </c:pt>
                <c:pt idx="44">
                  <c:v>98.215000000000003</c:v>
                </c:pt>
                <c:pt idx="45">
                  <c:v>101.35303501037211</c:v>
                </c:pt>
                <c:pt idx="46">
                  <c:v>104.30489155313091</c:v>
                </c:pt>
                <c:pt idx="47">
                  <c:v>107.04810421760625</c:v>
                </c:pt>
                <c:pt idx="48">
                  <c:v>109.56179549902441</c:v>
                </c:pt>
                <c:pt idx="49">
                  <c:v>111.82683468892552</c:v>
                </c:pt>
                <c:pt idx="50">
                  <c:v>113.82598347140629</c:v>
                </c:pt>
                <c:pt idx="51">
                  <c:v>115.54402711711313</c:v>
                </c:pt>
                <c:pt idx="52">
                  <c:v>116.967890276519</c:v>
                </c:pt>
                <c:pt idx="53">
                  <c:v>118.08673649122876</c:v>
                </c:pt>
                <c:pt idx="54">
                  <c:v>118.89205066597067</c:v>
                </c:pt>
                <c:pt idx="55">
                  <c:v>119.37770387361294</c:v>
                </c:pt>
                <c:pt idx="56">
                  <c:v>119.53999999999999</c:v>
                </c:pt>
                <c:pt idx="57">
                  <c:v>119.37770387361294</c:v>
                </c:pt>
                <c:pt idx="58">
                  <c:v>118.89205066597069</c:v>
                </c:pt>
                <c:pt idx="59">
                  <c:v>118.08673649122878</c:v>
                </c:pt>
                <c:pt idx="60">
                  <c:v>116.96789027651897</c:v>
                </c:pt>
                <c:pt idx="61">
                  <c:v>115.54402711711312</c:v>
                </c:pt>
                <c:pt idx="62">
                  <c:v>113.8259834714063</c:v>
                </c:pt>
                <c:pt idx="63">
                  <c:v>111.8268346889255</c:v>
                </c:pt>
                <c:pt idx="64">
                  <c:v>109.56179549902441</c:v>
                </c:pt>
                <c:pt idx="65">
                  <c:v>107.04810421760627</c:v>
                </c:pt>
                <c:pt idx="66">
                  <c:v>104.30489155313091</c:v>
                </c:pt>
                <c:pt idx="67">
                  <c:v>101.35303501037214</c:v>
                </c:pt>
                <c:pt idx="68">
                  <c:v>98.215000000000018</c:v>
                </c:pt>
                <c:pt idx="69">
                  <c:v>94.91466886324082</c:v>
                </c:pt>
                <c:pt idx="70">
                  <c:v>91.4771591128398</c:v>
                </c:pt>
                <c:pt idx="71">
                  <c:v>87.928632273622512</c:v>
                </c:pt>
                <c:pt idx="72">
                  <c:v>84.296094777494588</c:v>
                </c:pt>
                <c:pt idx="73">
                  <c:v>80.607192428187631</c:v>
                </c:pt>
                <c:pt idx="74">
                  <c:v>76.890000000000015</c:v>
                </c:pt>
              </c:numCache>
            </c:numRef>
          </c:xVal>
          <c:yVal>
            <c:numRef>
              <c:f>Lanes!$T$3:$T$77</c:f>
              <c:numCache>
                <c:formatCode>0.00</c:formatCode>
                <c:ptCount val="75"/>
                <c:pt idx="0">
                  <c:v>-42.65</c:v>
                </c:pt>
                <c:pt idx="1">
                  <c:v>-42.65</c:v>
                </c:pt>
                <c:pt idx="2">
                  <c:v>-42.487703873612944</c:v>
                </c:pt>
                <c:pt idx="3">
                  <c:v>-42.002050665970671</c:v>
                </c:pt>
                <c:pt idx="4">
                  <c:v>-41.196736491228762</c:v>
                </c:pt>
                <c:pt idx="5">
                  <c:v>-40.077890276518993</c:v>
                </c:pt>
                <c:pt idx="6">
                  <c:v>-38.654027117113117</c:v>
                </c:pt>
                <c:pt idx="7">
                  <c:v>-36.93598347140631</c:v>
                </c:pt>
                <c:pt idx="8">
                  <c:v>-34.936834688925501</c:v>
                </c:pt>
                <c:pt idx="9">
                  <c:v>-32.671795499024412</c:v>
                </c:pt>
                <c:pt idx="10">
                  <c:v>-30.158104217606255</c:v>
                </c:pt>
                <c:pt idx="11">
                  <c:v>-27.414891553130907</c:v>
                </c:pt>
                <c:pt idx="12">
                  <c:v>-24.463035010372113</c:v>
                </c:pt>
                <c:pt idx="13">
                  <c:v>-21.325000000000003</c:v>
                </c:pt>
                <c:pt idx="14">
                  <c:v>-18.024668863240837</c:v>
                </c:pt>
                <c:pt idx="15">
                  <c:v>-14.587159112839766</c:v>
                </c:pt>
                <c:pt idx="16">
                  <c:v>-11.038632273622518</c:v>
                </c:pt>
                <c:pt idx="17">
                  <c:v>-7.406094777494582</c:v>
                </c:pt>
                <c:pt idx="18">
                  <c:v>-3.7171924281876101</c:v>
                </c:pt>
                <c:pt idx="19">
                  <c:v>-1.2081761699234316E-14</c:v>
                </c:pt>
                <c:pt idx="20">
                  <c:v>3.7171924281876234</c:v>
                </c:pt>
                <c:pt idx="21">
                  <c:v>7.4060947774945776</c:v>
                </c:pt>
                <c:pt idx="22">
                  <c:v>11.038632273622495</c:v>
                </c:pt>
                <c:pt idx="23">
                  <c:v>14.587159112839787</c:v>
                </c:pt>
                <c:pt idx="24">
                  <c:v>18.024668863240841</c:v>
                </c:pt>
                <c:pt idx="25">
                  <c:v>21.324999999999974</c:v>
                </c:pt>
                <c:pt idx="26">
                  <c:v>24.463035010372117</c:v>
                </c:pt>
                <c:pt idx="27">
                  <c:v>27.414891553130904</c:v>
                </c:pt>
                <c:pt idx="28">
                  <c:v>30.158104217606233</c:v>
                </c:pt>
                <c:pt idx="29">
                  <c:v>32.671795499024405</c:v>
                </c:pt>
                <c:pt idx="30">
                  <c:v>34.936834688925501</c:v>
                </c:pt>
                <c:pt idx="31">
                  <c:v>36.93598347140631</c:v>
                </c:pt>
                <c:pt idx="32">
                  <c:v>38.654027117113131</c:v>
                </c:pt>
                <c:pt idx="33">
                  <c:v>40.077890276518986</c:v>
                </c:pt>
                <c:pt idx="34">
                  <c:v>41.196736491228755</c:v>
                </c:pt>
                <c:pt idx="35">
                  <c:v>42.002050665970671</c:v>
                </c:pt>
                <c:pt idx="36">
                  <c:v>42.487703873612944</c:v>
                </c:pt>
                <c:pt idx="37">
                  <c:v>42.65</c:v>
                </c:pt>
                <c:pt idx="38">
                  <c:v>42.65</c:v>
                </c:pt>
                <c:pt idx="39">
                  <c:v>42.487703873612944</c:v>
                </c:pt>
                <c:pt idx="40">
                  <c:v>42.002050665970664</c:v>
                </c:pt>
                <c:pt idx="41">
                  <c:v>41.196736491228762</c:v>
                </c:pt>
                <c:pt idx="42">
                  <c:v>40.077890276519</c:v>
                </c:pt>
                <c:pt idx="43">
                  <c:v>38.654027117113117</c:v>
                </c:pt>
                <c:pt idx="44">
                  <c:v>36.935983471406303</c:v>
                </c:pt>
                <c:pt idx="45">
                  <c:v>34.936834688925508</c:v>
                </c:pt>
                <c:pt idx="46">
                  <c:v>32.671795499024398</c:v>
                </c:pt>
                <c:pt idx="47">
                  <c:v>30.158104217606258</c:v>
                </c:pt>
                <c:pt idx="48">
                  <c:v>27.414891553130907</c:v>
                </c:pt>
                <c:pt idx="49">
                  <c:v>24.463035010372096</c:v>
                </c:pt>
                <c:pt idx="50">
                  <c:v>21.325000000000017</c:v>
                </c:pt>
                <c:pt idx="51">
                  <c:v>18.024668863240819</c:v>
                </c:pt>
                <c:pt idx="52">
                  <c:v>14.587159112839762</c:v>
                </c:pt>
                <c:pt idx="53">
                  <c:v>11.038632273622504</c:v>
                </c:pt>
                <c:pt idx="54">
                  <c:v>7.4060947774945785</c:v>
                </c:pt>
                <c:pt idx="55">
                  <c:v>3.7171924281876243</c:v>
                </c:pt>
                <c:pt idx="56">
                  <c:v>7.8346778975451912E-15</c:v>
                </c:pt>
                <c:pt idx="57">
                  <c:v>-3.7171924281876088</c:v>
                </c:pt>
                <c:pt idx="58">
                  <c:v>-7.4060947774945634</c:v>
                </c:pt>
                <c:pt idx="59">
                  <c:v>-11.03863227362249</c:v>
                </c:pt>
                <c:pt idx="60">
                  <c:v>-14.587159112839817</c:v>
                </c:pt>
                <c:pt idx="61">
                  <c:v>-18.024668863240837</c:v>
                </c:pt>
                <c:pt idx="62">
                  <c:v>-21.325000000000003</c:v>
                </c:pt>
                <c:pt idx="63">
                  <c:v>-24.463035010372113</c:v>
                </c:pt>
                <c:pt idx="64">
                  <c:v>-27.414891553130897</c:v>
                </c:pt>
                <c:pt idx="65">
                  <c:v>-30.158104217606244</c:v>
                </c:pt>
                <c:pt idx="66">
                  <c:v>-32.671795499024398</c:v>
                </c:pt>
                <c:pt idx="67">
                  <c:v>-34.936834688925487</c:v>
                </c:pt>
                <c:pt idx="68">
                  <c:v>-36.935983471406296</c:v>
                </c:pt>
                <c:pt idx="69">
                  <c:v>-38.654027117113124</c:v>
                </c:pt>
                <c:pt idx="70">
                  <c:v>-40.077890276518978</c:v>
                </c:pt>
                <c:pt idx="71">
                  <c:v>-41.196736491228762</c:v>
                </c:pt>
                <c:pt idx="72">
                  <c:v>-42.002050665970671</c:v>
                </c:pt>
                <c:pt idx="73">
                  <c:v>-42.487703873612944</c:v>
                </c:pt>
                <c:pt idx="74">
                  <c:v>-42.65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7-AF45-B091-CDF912A4707E}"/>
            </c:ext>
          </c:extLst>
        </c:ser>
        <c:ser>
          <c:idx val="4"/>
          <c:order val="4"/>
          <c:tx>
            <c:strRef>
              <c:f>Lanes!$U$1</c:f>
              <c:strCache>
                <c:ptCount val="1"/>
                <c:pt idx="0">
                  <c:v>Lane 5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Lanes!$X$3:$X$77</c:f>
              <c:numCache>
                <c:formatCode>0.00</c:formatCode>
                <c:ptCount val="75"/>
                <c:pt idx="0">
                  <c:v>76.89</c:v>
                </c:pt>
                <c:pt idx="1">
                  <c:v>0</c:v>
                </c:pt>
                <c:pt idx="2">
                  <c:v>-3.8235224343397682</c:v>
                </c:pt>
                <c:pt idx="3">
                  <c:v>-7.6179455542482293</c:v>
                </c:pt>
                <c:pt idx="4">
                  <c:v>-11.354391508647584</c:v>
                </c:pt>
                <c:pt idx="5">
                  <c:v>-15.00442368769709</c:v>
                </c:pt>
                <c:pt idx="6">
                  <c:v>-18.540263142564488</c:v>
                </c:pt>
                <c:pt idx="7">
                  <c:v>-21.934999999999995</c:v>
                </c:pt>
                <c:pt idx="8">
                  <c:v>-25.162798262720393</c:v>
                </c:pt>
                <c:pt idx="9">
                  <c:v>-28.199092436948476</c:v>
                </c:pt>
                <c:pt idx="10">
                  <c:v>-31.020774490653835</c:v>
                </c:pt>
                <c:pt idx="11">
                  <c:v>-33.606369719629562</c:v>
                </c:pt>
                <c:pt idx="12">
                  <c:v>-35.936200182958075</c:v>
                </c:pt>
                <c:pt idx="13">
                  <c:v>-37.992534464023322</c:v>
                </c:pt>
                <c:pt idx="14">
                  <c:v>-39.759722617297825</c:v>
                </c:pt>
                <c:pt idx="15">
                  <c:v>-41.224315273877792</c:v>
                </c:pt>
                <c:pt idx="16">
                  <c:v>-42.375165999301423</c:v>
                </c:pt>
                <c:pt idx="17">
                  <c:v>-43.20351612464556</c:v>
                </c:pt>
                <c:pt idx="18">
                  <c:v>-43.703061405284878</c:v>
                </c:pt>
                <c:pt idx="19">
                  <c:v>-43.87</c:v>
                </c:pt>
                <c:pt idx="20">
                  <c:v>-43.70306140528487</c:v>
                </c:pt>
                <c:pt idx="21">
                  <c:v>-43.20351612464556</c:v>
                </c:pt>
                <c:pt idx="22">
                  <c:v>-42.375165999301423</c:v>
                </c:pt>
                <c:pt idx="23">
                  <c:v>-41.224315273877792</c:v>
                </c:pt>
                <c:pt idx="24">
                  <c:v>-39.75972261729784</c:v>
                </c:pt>
                <c:pt idx="25">
                  <c:v>-37.992534464023336</c:v>
                </c:pt>
                <c:pt idx="26">
                  <c:v>-35.936200182958061</c:v>
                </c:pt>
                <c:pt idx="27">
                  <c:v>-33.606369719629562</c:v>
                </c:pt>
                <c:pt idx="28">
                  <c:v>-31.020774490653839</c:v>
                </c:pt>
                <c:pt idx="29">
                  <c:v>-28.199092436948487</c:v>
                </c:pt>
                <c:pt idx="30">
                  <c:v>-25.162798262720383</c:v>
                </c:pt>
                <c:pt idx="31">
                  <c:v>-21.934999999999981</c:v>
                </c:pt>
                <c:pt idx="32">
                  <c:v>-18.54026314256447</c:v>
                </c:pt>
                <c:pt idx="33">
                  <c:v>-15.004423687697093</c:v>
                </c:pt>
                <c:pt idx="34">
                  <c:v>-11.354391508647597</c:v>
                </c:pt>
                <c:pt idx="35">
                  <c:v>-7.6179455542482311</c:v>
                </c:pt>
                <c:pt idx="36">
                  <c:v>-3.8235224343397647</c:v>
                </c:pt>
                <c:pt idx="37">
                  <c:v>-5.3725255078594383E-15</c:v>
                </c:pt>
                <c:pt idx="38">
                  <c:v>76.889999999999986</c:v>
                </c:pt>
                <c:pt idx="39">
                  <c:v>80.713522434339751</c:v>
                </c:pt>
                <c:pt idx="40">
                  <c:v>84.507945554248238</c:v>
                </c:pt>
                <c:pt idx="41">
                  <c:v>88.24439150864761</c:v>
                </c:pt>
                <c:pt idx="42">
                  <c:v>91.894423687697099</c:v>
                </c:pt>
                <c:pt idx="43">
                  <c:v>95.430263142564499</c:v>
                </c:pt>
                <c:pt idx="44">
                  <c:v>98.824999999999974</c:v>
                </c:pt>
                <c:pt idx="45">
                  <c:v>102.05279826272039</c:v>
                </c:pt>
                <c:pt idx="46">
                  <c:v>105.08909243694846</c:v>
                </c:pt>
                <c:pt idx="47">
                  <c:v>107.91077449065382</c:v>
                </c:pt>
                <c:pt idx="48">
                  <c:v>110.49636971962957</c:v>
                </c:pt>
                <c:pt idx="49">
                  <c:v>112.82620018295806</c:v>
                </c:pt>
                <c:pt idx="50">
                  <c:v>114.88253446402331</c:v>
                </c:pt>
                <c:pt idx="51">
                  <c:v>116.64972261729784</c:v>
                </c:pt>
                <c:pt idx="52">
                  <c:v>118.11431527387779</c:v>
                </c:pt>
                <c:pt idx="53">
                  <c:v>119.26516599930142</c:v>
                </c:pt>
                <c:pt idx="54">
                  <c:v>120.09351612464556</c:v>
                </c:pt>
                <c:pt idx="55">
                  <c:v>120.59306140528487</c:v>
                </c:pt>
                <c:pt idx="56">
                  <c:v>120.75999999999999</c:v>
                </c:pt>
                <c:pt idx="57">
                  <c:v>120.59306140528489</c:v>
                </c:pt>
                <c:pt idx="58">
                  <c:v>120.09351612464556</c:v>
                </c:pt>
                <c:pt idx="59">
                  <c:v>119.26516599930143</c:v>
                </c:pt>
                <c:pt idx="60">
                  <c:v>118.11431527387779</c:v>
                </c:pt>
                <c:pt idx="61">
                  <c:v>116.64972261729783</c:v>
                </c:pt>
                <c:pt idx="62">
                  <c:v>114.88253446402332</c:v>
                </c:pt>
                <c:pt idx="63">
                  <c:v>112.82620018295808</c:v>
                </c:pt>
                <c:pt idx="64">
                  <c:v>110.49636971962957</c:v>
                </c:pt>
                <c:pt idx="65">
                  <c:v>107.91077449065385</c:v>
                </c:pt>
                <c:pt idx="66">
                  <c:v>105.08909243694849</c:v>
                </c:pt>
                <c:pt idx="67">
                  <c:v>102.05279826272042</c:v>
                </c:pt>
                <c:pt idx="68">
                  <c:v>98.825000000000017</c:v>
                </c:pt>
                <c:pt idx="69">
                  <c:v>95.430263142564442</c:v>
                </c:pt>
                <c:pt idx="70">
                  <c:v>91.894423687697085</c:v>
                </c:pt>
                <c:pt idx="71">
                  <c:v>88.244391508647581</c:v>
                </c:pt>
                <c:pt idx="72">
                  <c:v>84.507945554248238</c:v>
                </c:pt>
                <c:pt idx="73">
                  <c:v>80.713522434339765</c:v>
                </c:pt>
                <c:pt idx="74">
                  <c:v>76.890000000000015</c:v>
                </c:pt>
              </c:numCache>
            </c:numRef>
          </c:xVal>
          <c:yVal>
            <c:numRef>
              <c:f>Lanes!$Y$3:$Y$77</c:f>
              <c:numCache>
                <c:formatCode>0.00</c:formatCode>
                <c:ptCount val="75"/>
                <c:pt idx="0">
                  <c:v>-43.87</c:v>
                </c:pt>
                <c:pt idx="1">
                  <c:v>-43.87</c:v>
                </c:pt>
                <c:pt idx="2">
                  <c:v>-43.703061405284878</c:v>
                </c:pt>
                <c:pt idx="3">
                  <c:v>-43.20351612464556</c:v>
                </c:pt>
                <c:pt idx="4">
                  <c:v>-42.375165999301423</c:v>
                </c:pt>
                <c:pt idx="5">
                  <c:v>-41.224315273877792</c:v>
                </c:pt>
                <c:pt idx="6">
                  <c:v>-39.759722617297832</c:v>
                </c:pt>
                <c:pt idx="7">
                  <c:v>-37.992534464023322</c:v>
                </c:pt>
                <c:pt idx="8">
                  <c:v>-35.936200182958068</c:v>
                </c:pt>
                <c:pt idx="9">
                  <c:v>-33.606369719629569</c:v>
                </c:pt>
                <c:pt idx="10">
                  <c:v>-31.020774490653839</c:v>
                </c:pt>
                <c:pt idx="11">
                  <c:v>-28.199092436948479</c:v>
                </c:pt>
                <c:pt idx="12">
                  <c:v>-25.162798262720383</c:v>
                </c:pt>
                <c:pt idx="13">
                  <c:v>-21.935000000000002</c:v>
                </c:pt>
                <c:pt idx="14">
                  <c:v>-18.540263142564491</c:v>
                </c:pt>
                <c:pt idx="15">
                  <c:v>-15.0044236876971</c:v>
                </c:pt>
                <c:pt idx="16">
                  <c:v>-11.354391508647584</c:v>
                </c:pt>
                <c:pt idx="17">
                  <c:v>-7.6179455542482373</c:v>
                </c:pt>
                <c:pt idx="18">
                  <c:v>-3.8235224343397527</c:v>
                </c:pt>
                <c:pt idx="19">
                  <c:v>7.0548340641314045E-15</c:v>
                </c:pt>
                <c:pt idx="20">
                  <c:v>3.823522434339786</c:v>
                </c:pt>
                <c:pt idx="21">
                  <c:v>7.6179455542482515</c:v>
                </c:pt>
                <c:pt idx="22">
                  <c:v>11.35439150864759</c:v>
                </c:pt>
                <c:pt idx="23">
                  <c:v>15.004423687697095</c:v>
                </c:pt>
                <c:pt idx="24">
                  <c:v>18.540263142564463</c:v>
                </c:pt>
                <c:pt idx="25">
                  <c:v>21.934999999999974</c:v>
                </c:pt>
                <c:pt idx="26">
                  <c:v>25.162798262720393</c:v>
                </c:pt>
                <c:pt idx="27">
                  <c:v>28.199092436948479</c:v>
                </c:pt>
                <c:pt idx="28">
                  <c:v>31.020774490653835</c:v>
                </c:pt>
                <c:pt idx="29">
                  <c:v>33.606369719629562</c:v>
                </c:pt>
                <c:pt idx="30">
                  <c:v>35.936200182958075</c:v>
                </c:pt>
                <c:pt idx="31">
                  <c:v>37.992534464023336</c:v>
                </c:pt>
                <c:pt idx="32">
                  <c:v>39.75972261729784</c:v>
                </c:pt>
                <c:pt idx="33">
                  <c:v>41.224315273877792</c:v>
                </c:pt>
                <c:pt idx="34">
                  <c:v>42.375165999301423</c:v>
                </c:pt>
                <c:pt idx="35">
                  <c:v>43.20351612464556</c:v>
                </c:pt>
                <c:pt idx="36">
                  <c:v>43.703061405284878</c:v>
                </c:pt>
                <c:pt idx="37">
                  <c:v>43.87</c:v>
                </c:pt>
                <c:pt idx="38">
                  <c:v>43.87</c:v>
                </c:pt>
                <c:pt idx="39">
                  <c:v>43.703061405284878</c:v>
                </c:pt>
                <c:pt idx="40">
                  <c:v>43.20351612464556</c:v>
                </c:pt>
                <c:pt idx="41">
                  <c:v>42.375165999301423</c:v>
                </c:pt>
                <c:pt idx="42">
                  <c:v>41.224315273877792</c:v>
                </c:pt>
                <c:pt idx="43">
                  <c:v>39.759722617297825</c:v>
                </c:pt>
                <c:pt idx="44">
                  <c:v>37.992534464023336</c:v>
                </c:pt>
                <c:pt idx="45">
                  <c:v>35.936200182958075</c:v>
                </c:pt>
                <c:pt idx="46">
                  <c:v>33.606369719629576</c:v>
                </c:pt>
                <c:pt idx="47">
                  <c:v>31.020774490653857</c:v>
                </c:pt>
                <c:pt idx="48">
                  <c:v>28.199092436948487</c:v>
                </c:pt>
                <c:pt idx="49">
                  <c:v>25.162798262720404</c:v>
                </c:pt>
                <c:pt idx="50">
                  <c:v>21.935000000000016</c:v>
                </c:pt>
                <c:pt idx="51">
                  <c:v>18.54026314256447</c:v>
                </c:pt>
                <c:pt idx="52">
                  <c:v>15.004423687697079</c:v>
                </c:pt>
                <c:pt idx="53">
                  <c:v>11.354391508647579</c:v>
                </c:pt>
                <c:pt idx="54">
                  <c:v>7.6179455542482328</c:v>
                </c:pt>
                <c:pt idx="55">
                  <c:v>3.823522434339806</c:v>
                </c:pt>
                <c:pt idx="56">
                  <c:v>-3.090559901045533E-14</c:v>
                </c:pt>
                <c:pt idx="57">
                  <c:v>-3.8235224343397123</c:v>
                </c:pt>
                <c:pt idx="58">
                  <c:v>-7.617945554248255</c:v>
                </c:pt>
                <c:pt idx="59">
                  <c:v>-11.354391508647565</c:v>
                </c:pt>
                <c:pt idx="60">
                  <c:v>-15.004423687697098</c:v>
                </c:pt>
                <c:pt idx="61">
                  <c:v>-18.540263142564491</c:v>
                </c:pt>
                <c:pt idx="62">
                  <c:v>-21.935000000000002</c:v>
                </c:pt>
                <c:pt idx="63">
                  <c:v>-25.16279826272039</c:v>
                </c:pt>
                <c:pt idx="64">
                  <c:v>-28.199092436948476</c:v>
                </c:pt>
                <c:pt idx="65">
                  <c:v>-31.020774490653832</c:v>
                </c:pt>
                <c:pt idx="66">
                  <c:v>-33.606369719629555</c:v>
                </c:pt>
                <c:pt idx="67">
                  <c:v>-35.936200182958061</c:v>
                </c:pt>
                <c:pt idx="68">
                  <c:v>-37.992534464023308</c:v>
                </c:pt>
                <c:pt idx="69">
                  <c:v>-39.759722617297854</c:v>
                </c:pt>
                <c:pt idx="70">
                  <c:v>-41.224315273877799</c:v>
                </c:pt>
                <c:pt idx="71">
                  <c:v>-42.375165999301423</c:v>
                </c:pt>
                <c:pt idx="72">
                  <c:v>-43.20351612464556</c:v>
                </c:pt>
                <c:pt idx="73">
                  <c:v>-43.703061405284878</c:v>
                </c:pt>
                <c:pt idx="74">
                  <c:v>-43.87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477-AF45-B091-CDF912A4707E}"/>
            </c:ext>
          </c:extLst>
        </c:ser>
        <c:ser>
          <c:idx val="5"/>
          <c:order val="5"/>
          <c:tx>
            <c:strRef>
              <c:f>Lanes!$Z$1</c:f>
              <c:strCache>
                <c:ptCount val="1"/>
                <c:pt idx="0">
                  <c:v>Lane 6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Lanes!$AC$3:$AC$77</c:f>
              <c:numCache>
                <c:formatCode>0.00</c:formatCode>
                <c:ptCount val="75"/>
                <c:pt idx="0">
                  <c:v>76.89</c:v>
                </c:pt>
                <c:pt idx="1">
                  <c:v>0</c:v>
                </c:pt>
                <c:pt idx="2">
                  <c:v>-3.9298524404919064</c:v>
                </c:pt>
                <c:pt idx="3">
                  <c:v>-7.8297963310018881</c:v>
                </c:pt>
                <c:pt idx="4">
                  <c:v>-11.670150743672659</c:v>
                </c:pt>
                <c:pt idx="5">
                  <c:v>-15.421688262554401</c:v>
                </c:pt>
                <c:pt idx="6">
                  <c:v>-19.055857421888135</c:v>
                </c:pt>
                <c:pt idx="7">
                  <c:v>-22.544999999999995</c:v>
                </c:pt>
                <c:pt idx="8">
                  <c:v>-25.862561515068663</c:v>
                </c:pt>
                <c:pt idx="9">
                  <c:v>-28.983293320766052</c:v>
                </c:pt>
                <c:pt idx="10">
                  <c:v>-31.883444763701423</c:v>
                </c:pt>
                <c:pt idx="11">
                  <c:v>-34.540943940234719</c:v>
                </c:pt>
                <c:pt idx="12">
                  <c:v>-36.935565676990635</c:v>
                </c:pt>
                <c:pt idx="13">
                  <c:v>-39.049085456640334</c:v>
                </c:pt>
                <c:pt idx="14">
                  <c:v>-40.865418117482548</c:v>
                </c:pt>
                <c:pt idx="15">
                  <c:v>-42.370740271236599</c:v>
                </c:pt>
                <c:pt idx="16">
                  <c:v>-43.553595507374084</c:v>
                </c:pt>
                <c:pt idx="17">
                  <c:v>-44.404981583320456</c:v>
                </c:pt>
                <c:pt idx="18">
                  <c:v>-44.918418936956805</c:v>
                </c:pt>
                <c:pt idx="19">
                  <c:v>-45.089999999999996</c:v>
                </c:pt>
                <c:pt idx="20">
                  <c:v>-44.918418936956797</c:v>
                </c:pt>
                <c:pt idx="21">
                  <c:v>-44.404981583320463</c:v>
                </c:pt>
                <c:pt idx="22">
                  <c:v>-43.553595507374084</c:v>
                </c:pt>
                <c:pt idx="23">
                  <c:v>-42.370740271236606</c:v>
                </c:pt>
                <c:pt idx="24">
                  <c:v>-40.865418117482534</c:v>
                </c:pt>
                <c:pt idx="25">
                  <c:v>-39.049085456640356</c:v>
                </c:pt>
                <c:pt idx="26">
                  <c:v>-36.935565676990635</c:v>
                </c:pt>
                <c:pt idx="27">
                  <c:v>-34.540943940234733</c:v>
                </c:pt>
                <c:pt idx="28">
                  <c:v>-31.883444763701412</c:v>
                </c:pt>
                <c:pt idx="29">
                  <c:v>-28.983293320766077</c:v>
                </c:pt>
                <c:pt idx="30">
                  <c:v>-25.862561515068645</c:v>
                </c:pt>
                <c:pt idx="31">
                  <c:v>-22.544999999999995</c:v>
                </c:pt>
                <c:pt idx="32">
                  <c:v>-19.055857421888138</c:v>
                </c:pt>
                <c:pt idx="33">
                  <c:v>-15.421688262554408</c:v>
                </c:pt>
                <c:pt idx="34">
                  <c:v>-11.670150743672632</c:v>
                </c:pt>
                <c:pt idx="35">
                  <c:v>-7.8297963310018854</c:v>
                </c:pt>
                <c:pt idx="36">
                  <c:v>-3.9298524404918878</c:v>
                </c:pt>
                <c:pt idx="37">
                  <c:v>-5.5219324173554153E-15</c:v>
                </c:pt>
                <c:pt idx="38">
                  <c:v>76.889999999999986</c:v>
                </c:pt>
                <c:pt idx="39">
                  <c:v>80.819852440491914</c:v>
                </c:pt>
                <c:pt idx="40">
                  <c:v>84.719796331001902</c:v>
                </c:pt>
                <c:pt idx="41">
                  <c:v>88.560150743672637</c:v>
                </c:pt>
                <c:pt idx="42">
                  <c:v>92.311688262554398</c:v>
                </c:pt>
                <c:pt idx="43">
                  <c:v>95.945857421888149</c:v>
                </c:pt>
                <c:pt idx="44">
                  <c:v>99.435000000000002</c:v>
                </c:pt>
                <c:pt idx="45">
                  <c:v>102.75256151506866</c:v>
                </c:pt>
                <c:pt idx="46">
                  <c:v>105.87329332076605</c:v>
                </c:pt>
                <c:pt idx="47">
                  <c:v>108.77344476370145</c:v>
                </c:pt>
                <c:pt idx="48">
                  <c:v>111.43094394023471</c:v>
                </c:pt>
                <c:pt idx="49">
                  <c:v>113.82556567699064</c:v>
                </c:pt>
                <c:pt idx="50">
                  <c:v>115.93908545664033</c:v>
                </c:pt>
                <c:pt idx="51">
                  <c:v>117.75541811748258</c:v>
                </c:pt>
                <c:pt idx="52">
                  <c:v>119.26074027123661</c:v>
                </c:pt>
                <c:pt idx="53">
                  <c:v>120.44359550737408</c:v>
                </c:pt>
                <c:pt idx="54">
                  <c:v>121.29498158332046</c:v>
                </c:pt>
                <c:pt idx="55">
                  <c:v>121.8084189369568</c:v>
                </c:pt>
                <c:pt idx="56">
                  <c:v>121.97999999999999</c:v>
                </c:pt>
                <c:pt idx="57">
                  <c:v>121.8084189369568</c:v>
                </c:pt>
                <c:pt idx="58">
                  <c:v>121.29498158332046</c:v>
                </c:pt>
                <c:pt idx="59">
                  <c:v>120.44359550737408</c:v>
                </c:pt>
                <c:pt idx="60">
                  <c:v>119.2607402712366</c:v>
                </c:pt>
                <c:pt idx="61">
                  <c:v>117.75541811748253</c:v>
                </c:pt>
                <c:pt idx="62">
                  <c:v>115.93908545664033</c:v>
                </c:pt>
                <c:pt idx="63">
                  <c:v>113.82556567699064</c:v>
                </c:pt>
                <c:pt idx="64">
                  <c:v>111.43094394023473</c:v>
                </c:pt>
                <c:pt idx="65">
                  <c:v>108.77344476370143</c:v>
                </c:pt>
                <c:pt idx="66">
                  <c:v>105.87329332076607</c:v>
                </c:pt>
                <c:pt idx="67">
                  <c:v>102.75256151506865</c:v>
                </c:pt>
                <c:pt idx="68">
                  <c:v>99.435000000000016</c:v>
                </c:pt>
                <c:pt idx="69">
                  <c:v>95.945857421888121</c:v>
                </c:pt>
                <c:pt idx="70">
                  <c:v>92.311688262554398</c:v>
                </c:pt>
                <c:pt idx="71">
                  <c:v>88.560150743672665</c:v>
                </c:pt>
                <c:pt idx="72">
                  <c:v>84.719796331001888</c:v>
                </c:pt>
                <c:pt idx="73">
                  <c:v>80.819852440491914</c:v>
                </c:pt>
                <c:pt idx="74">
                  <c:v>76.890000000000015</c:v>
                </c:pt>
              </c:numCache>
            </c:numRef>
          </c:xVal>
          <c:yVal>
            <c:numRef>
              <c:f>Lanes!$AD$3:$AD$77</c:f>
              <c:numCache>
                <c:formatCode>0.00</c:formatCode>
                <c:ptCount val="75"/>
                <c:pt idx="0">
                  <c:v>-45.089999999999996</c:v>
                </c:pt>
                <c:pt idx="1">
                  <c:v>-45.089999999999996</c:v>
                </c:pt>
                <c:pt idx="2">
                  <c:v>-44.918418936956805</c:v>
                </c:pt>
                <c:pt idx="3">
                  <c:v>-44.404981583320456</c:v>
                </c:pt>
                <c:pt idx="4">
                  <c:v>-43.553595507374084</c:v>
                </c:pt>
                <c:pt idx="5">
                  <c:v>-42.370740271236606</c:v>
                </c:pt>
                <c:pt idx="6">
                  <c:v>-40.865418117482541</c:v>
                </c:pt>
                <c:pt idx="7">
                  <c:v>-39.049085456640341</c:v>
                </c:pt>
                <c:pt idx="8">
                  <c:v>-36.935565676990635</c:v>
                </c:pt>
                <c:pt idx="9">
                  <c:v>-34.540943940234719</c:v>
                </c:pt>
                <c:pt idx="10">
                  <c:v>-31.883444763701426</c:v>
                </c:pt>
                <c:pt idx="11">
                  <c:v>-28.983293320766059</c:v>
                </c:pt>
                <c:pt idx="12">
                  <c:v>-25.862561515068663</c:v>
                </c:pt>
                <c:pt idx="13">
                  <c:v>-22.545000000000002</c:v>
                </c:pt>
                <c:pt idx="14">
                  <c:v>-19.055857421888128</c:v>
                </c:pt>
                <c:pt idx="15">
                  <c:v>-15.421688262554415</c:v>
                </c:pt>
                <c:pt idx="16">
                  <c:v>-11.670150743672648</c:v>
                </c:pt>
                <c:pt idx="17">
                  <c:v>-7.8297963310019014</c:v>
                </c:pt>
                <c:pt idx="18">
                  <c:v>-3.9298524404918953</c:v>
                </c:pt>
                <c:pt idx="19">
                  <c:v>-1.2772957444747369E-14</c:v>
                </c:pt>
                <c:pt idx="20">
                  <c:v>3.9298524404919295</c:v>
                </c:pt>
                <c:pt idx="21">
                  <c:v>7.8297963310018766</c:v>
                </c:pt>
                <c:pt idx="22">
                  <c:v>11.670150743672682</c:v>
                </c:pt>
                <c:pt idx="23">
                  <c:v>15.42168826255439</c:v>
                </c:pt>
                <c:pt idx="24">
                  <c:v>19.055857421888149</c:v>
                </c:pt>
                <c:pt idx="25">
                  <c:v>22.544999999999973</c:v>
                </c:pt>
                <c:pt idx="26">
                  <c:v>25.86256151506867</c:v>
                </c:pt>
                <c:pt idx="27">
                  <c:v>28.983293320766041</c:v>
                </c:pt>
                <c:pt idx="28">
                  <c:v>31.883444763701437</c:v>
                </c:pt>
                <c:pt idx="29">
                  <c:v>34.540943940234698</c:v>
                </c:pt>
                <c:pt idx="30">
                  <c:v>36.935565676990649</c:v>
                </c:pt>
                <c:pt idx="31">
                  <c:v>39.049085456640341</c:v>
                </c:pt>
                <c:pt idx="32">
                  <c:v>40.865418117482541</c:v>
                </c:pt>
                <c:pt idx="33">
                  <c:v>42.370740271236599</c:v>
                </c:pt>
                <c:pt idx="34">
                  <c:v>43.553595507374091</c:v>
                </c:pt>
                <c:pt idx="35">
                  <c:v>44.404981583320456</c:v>
                </c:pt>
                <c:pt idx="36">
                  <c:v>44.918418936956805</c:v>
                </c:pt>
                <c:pt idx="37">
                  <c:v>45.089999999999996</c:v>
                </c:pt>
                <c:pt idx="38">
                  <c:v>45.089999999999996</c:v>
                </c:pt>
                <c:pt idx="39">
                  <c:v>44.918418936956805</c:v>
                </c:pt>
                <c:pt idx="40">
                  <c:v>44.404981583320456</c:v>
                </c:pt>
                <c:pt idx="41">
                  <c:v>43.553595507374091</c:v>
                </c:pt>
                <c:pt idx="42">
                  <c:v>42.370740271236606</c:v>
                </c:pt>
                <c:pt idx="43">
                  <c:v>40.865418117482534</c:v>
                </c:pt>
                <c:pt idx="44">
                  <c:v>39.049085456640334</c:v>
                </c:pt>
                <c:pt idx="45">
                  <c:v>36.935565676990649</c:v>
                </c:pt>
                <c:pt idx="46">
                  <c:v>34.540943940234719</c:v>
                </c:pt>
                <c:pt idx="47">
                  <c:v>31.883444763701402</c:v>
                </c:pt>
                <c:pt idx="48">
                  <c:v>28.983293320766062</c:v>
                </c:pt>
                <c:pt idx="49">
                  <c:v>25.862561515068681</c:v>
                </c:pt>
                <c:pt idx="50">
                  <c:v>22.545000000000019</c:v>
                </c:pt>
                <c:pt idx="51">
                  <c:v>19.055857421888085</c:v>
                </c:pt>
                <c:pt idx="52">
                  <c:v>15.421688262554394</c:v>
                </c:pt>
                <c:pt idx="53">
                  <c:v>11.670150743672695</c:v>
                </c:pt>
                <c:pt idx="54">
                  <c:v>7.8297963310018881</c:v>
                </c:pt>
                <c:pt idx="55">
                  <c:v>3.9298524404918709</c:v>
                </c:pt>
                <c:pt idx="56">
                  <c:v>8.2828986260331222E-15</c:v>
                </c:pt>
                <c:pt idx="57">
                  <c:v>-3.929852440491854</c:v>
                </c:pt>
                <c:pt idx="58">
                  <c:v>-7.8297963310018721</c:v>
                </c:pt>
                <c:pt idx="59">
                  <c:v>-11.670150743672639</c:v>
                </c:pt>
                <c:pt idx="60">
                  <c:v>-15.421688262554413</c:v>
                </c:pt>
                <c:pt idx="61">
                  <c:v>-19.055857421888145</c:v>
                </c:pt>
                <c:pt idx="62">
                  <c:v>-22.545000000000002</c:v>
                </c:pt>
                <c:pt idx="63">
                  <c:v>-25.862561515068663</c:v>
                </c:pt>
                <c:pt idx="64">
                  <c:v>-28.983293320766052</c:v>
                </c:pt>
                <c:pt idx="65">
                  <c:v>-31.883444763701416</c:v>
                </c:pt>
                <c:pt idx="66">
                  <c:v>-34.540943940234705</c:v>
                </c:pt>
                <c:pt idx="67">
                  <c:v>-36.935565676990649</c:v>
                </c:pt>
                <c:pt idx="68">
                  <c:v>-39.04908545664032</c:v>
                </c:pt>
                <c:pt idx="69">
                  <c:v>-40.865418117482548</c:v>
                </c:pt>
                <c:pt idx="70">
                  <c:v>-42.370740271236606</c:v>
                </c:pt>
                <c:pt idx="71">
                  <c:v>-43.553595507374084</c:v>
                </c:pt>
                <c:pt idx="72">
                  <c:v>-44.404981583320456</c:v>
                </c:pt>
                <c:pt idx="73">
                  <c:v>-44.918418936956805</c:v>
                </c:pt>
                <c:pt idx="74">
                  <c:v>-45.089999999999996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7-AF45-B091-CDF912A4707E}"/>
            </c:ext>
          </c:extLst>
        </c:ser>
        <c:ser>
          <c:idx val="6"/>
          <c:order val="6"/>
          <c:tx>
            <c:strRef>
              <c:f>Lanes!$AE$1</c:f>
              <c:strCache>
                <c:ptCount val="1"/>
                <c:pt idx="0">
                  <c:v>Lane 7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Lanes!$AH$3:$AH$77</c:f>
              <c:numCache>
                <c:formatCode>0.00</c:formatCode>
                <c:ptCount val="75"/>
                <c:pt idx="0">
                  <c:v>76.89</c:v>
                </c:pt>
                <c:pt idx="1">
                  <c:v>0</c:v>
                </c:pt>
                <c:pt idx="2">
                  <c:v>-4.0361824466440437</c:v>
                </c:pt>
                <c:pt idx="3">
                  <c:v>-8.0416471077555478</c:v>
                </c:pt>
                <c:pt idx="4">
                  <c:v>-11.985909978697734</c:v>
                </c:pt>
                <c:pt idx="5">
                  <c:v>-15.838952837411711</c:v>
                </c:pt>
                <c:pt idx="6">
                  <c:v>-19.571451701211796</c:v>
                </c:pt>
                <c:pt idx="7">
                  <c:v>-23.154999999999994</c:v>
                </c:pt>
                <c:pt idx="8">
                  <c:v>-26.562324767416936</c:v>
                </c:pt>
                <c:pt idx="9">
                  <c:v>-29.767494204583635</c:v>
                </c:pt>
                <c:pt idx="10">
                  <c:v>-32.746115036749011</c:v>
                </c:pt>
                <c:pt idx="11">
                  <c:v>-35.475518160839869</c:v>
                </c:pt>
                <c:pt idx="12">
                  <c:v>-37.934931171023209</c:v>
                </c:pt>
                <c:pt idx="13">
                  <c:v>-40.105636449257346</c:v>
                </c:pt>
                <c:pt idx="14">
                  <c:v>-41.971113617667257</c:v>
                </c:pt>
                <c:pt idx="15">
                  <c:v>-43.517165268595413</c:v>
                </c:pt>
                <c:pt idx="16">
                  <c:v>-44.732025015446752</c:v>
                </c:pt>
                <c:pt idx="17">
                  <c:v>-45.606447041995345</c:v>
                </c:pt>
                <c:pt idx="18">
                  <c:v>-46.133776468628731</c:v>
                </c:pt>
                <c:pt idx="19">
                  <c:v>-46.309999999999995</c:v>
                </c:pt>
                <c:pt idx="20">
                  <c:v>-46.133776468628731</c:v>
                </c:pt>
                <c:pt idx="21">
                  <c:v>-45.606447041995345</c:v>
                </c:pt>
                <c:pt idx="22">
                  <c:v>-44.732025015446752</c:v>
                </c:pt>
                <c:pt idx="23">
                  <c:v>-43.517165268595413</c:v>
                </c:pt>
                <c:pt idx="24">
                  <c:v>-41.971113617667257</c:v>
                </c:pt>
                <c:pt idx="25">
                  <c:v>-40.105636449257368</c:v>
                </c:pt>
                <c:pt idx="26">
                  <c:v>-37.934931171023216</c:v>
                </c:pt>
                <c:pt idx="27">
                  <c:v>-35.475518160839869</c:v>
                </c:pt>
                <c:pt idx="28">
                  <c:v>-32.746115036749018</c:v>
                </c:pt>
                <c:pt idx="29">
                  <c:v>-29.767494204583642</c:v>
                </c:pt>
                <c:pt idx="30">
                  <c:v>-26.562324767416918</c:v>
                </c:pt>
                <c:pt idx="31">
                  <c:v>-23.154999999999976</c:v>
                </c:pt>
                <c:pt idx="32">
                  <c:v>-19.571451701211792</c:v>
                </c:pt>
                <c:pt idx="33">
                  <c:v>-15.838952837411707</c:v>
                </c:pt>
                <c:pt idx="34">
                  <c:v>-11.985909978697746</c:v>
                </c:pt>
                <c:pt idx="35">
                  <c:v>-8.0416471077555194</c:v>
                </c:pt>
                <c:pt idx="36">
                  <c:v>-4.0361824466440508</c:v>
                </c:pt>
                <c:pt idx="37">
                  <c:v>-5.6713393268513923E-15</c:v>
                </c:pt>
                <c:pt idx="38">
                  <c:v>76.889999999999986</c:v>
                </c:pt>
                <c:pt idx="39">
                  <c:v>80.926182446644034</c:v>
                </c:pt>
                <c:pt idx="40">
                  <c:v>84.931647107755552</c:v>
                </c:pt>
                <c:pt idx="41">
                  <c:v>88.87590997869772</c:v>
                </c:pt>
                <c:pt idx="42">
                  <c:v>92.728952837411697</c:v>
                </c:pt>
                <c:pt idx="43">
                  <c:v>96.461451701211757</c:v>
                </c:pt>
                <c:pt idx="44">
                  <c:v>100.04500000000002</c:v>
                </c:pt>
                <c:pt idx="45">
                  <c:v>103.45232476741697</c:v>
                </c:pt>
                <c:pt idx="46">
                  <c:v>106.65749420458364</c:v>
                </c:pt>
                <c:pt idx="47">
                  <c:v>109.63611503674902</c:v>
                </c:pt>
                <c:pt idx="48">
                  <c:v>112.36551816083985</c:v>
                </c:pt>
                <c:pt idx="49">
                  <c:v>114.8249311710232</c:v>
                </c:pt>
                <c:pt idx="50">
                  <c:v>116.99563644925735</c:v>
                </c:pt>
                <c:pt idx="51">
                  <c:v>118.86111361766726</c:v>
                </c:pt>
                <c:pt idx="52">
                  <c:v>120.40716526859541</c:v>
                </c:pt>
                <c:pt idx="53">
                  <c:v>121.62202501544675</c:v>
                </c:pt>
                <c:pt idx="54">
                  <c:v>122.49644704199534</c:v>
                </c:pt>
                <c:pt idx="55">
                  <c:v>123.02377646862874</c:v>
                </c:pt>
                <c:pt idx="56">
                  <c:v>123.19999999999999</c:v>
                </c:pt>
                <c:pt idx="57">
                  <c:v>123.02377646862874</c:v>
                </c:pt>
                <c:pt idx="58">
                  <c:v>122.49644704199535</c:v>
                </c:pt>
                <c:pt idx="59">
                  <c:v>121.62202501544675</c:v>
                </c:pt>
                <c:pt idx="60">
                  <c:v>120.40716526859541</c:v>
                </c:pt>
                <c:pt idx="61">
                  <c:v>118.86111361766726</c:v>
                </c:pt>
                <c:pt idx="62">
                  <c:v>116.99563644925735</c:v>
                </c:pt>
                <c:pt idx="63">
                  <c:v>114.82493117102321</c:v>
                </c:pt>
                <c:pt idx="64">
                  <c:v>112.36551816083988</c:v>
                </c:pt>
                <c:pt idx="65">
                  <c:v>109.63611503674902</c:v>
                </c:pt>
                <c:pt idx="66">
                  <c:v>106.65749420458364</c:v>
                </c:pt>
                <c:pt idx="67">
                  <c:v>103.45232476741693</c:v>
                </c:pt>
                <c:pt idx="68">
                  <c:v>100.04500000000002</c:v>
                </c:pt>
                <c:pt idx="69">
                  <c:v>96.461451701211786</c:v>
                </c:pt>
                <c:pt idx="70">
                  <c:v>92.728952837411711</c:v>
                </c:pt>
                <c:pt idx="71">
                  <c:v>88.875909978697734</c:v>
                </c:pt>
                <c:pt idx="72">
                  <c:v>84.931647107755552</c:v>
                </c:pt>
                <c:pt idx="73">
                  <c:v>80.926182446644063</c:v>
                </c:pt>
                <c:pt idx="74">
                  <c:v>76.890000000000015</c:v>
                </c:pt>
              </c:numCache>
            </c:numRef>
          </c:xVal>
          <c:yVal>
            <c:numRef>
              <c:f>Lanes!$AI$3:$AI$77</c:f>
              <c:numCache>
                <c:formatCode>0.00</c:formatCode>
                <c:ptCount val="75"/>
                <c:pt idx="0">
                  <c:v>-46.309999999999995</c:v>
                </c:pt>
                <c:pt idx="1">
                  <c:v>-46.309999999999995</c:v>
                </c:pt>
                <c:pt idx="2">
                  <c:v>-46.133776468628731</c:v>
                </c:pt>
                <c:pt idx="3">
                  <c:v>-45.606447041995345</c:v>
                </c:pt>
                <c:pt idx="4">
                  <c:v>-44.732025015446752</c:v>
                </c:pt>
                <c:pt idx="5">
                  <c:v>-43.517165268595413</c:v>
                </c:pt>
                <c:pt idx="6">
                  <c:v>-41.971113617667257</c:v>
                </c:pt>
                <c:pt idx="7">
                  <c:v>-40.105636449257354</c:v>
                </c:pt>
                <c:pt idx="8">
                  <c:v>-37.934931171023209</c:v>
                </c:pt>
                <c:pt idx="9">
                  <c:v>-35.475518160839869</c:v>
                </c:pt>
                <c:pt idx="10">
                  <c:v>-32.746115036749018</c:v>
                </c:pt>
                <c:pt idx="11">
                  <c:v>-29.767494204583642</c:v>
                </c:pt>
                <c:pt idx="12">
                  <c:v>-26.562324767416939</c:v>
                </c:pt>
                <c:pt idx="13">
                  <c:v>-23.155000000000001</c:v>
                </c:pt>
                <c:pt idx="14">
                  <c:v>-19.571451701211778</c:v>
                </c:pt>
                <c:pt idx="15">
                  <c:v>-15.838952837411721</c:v>
                </c:pt>
                <c:pt idx="16">
                  <c:v>-11.985909978697734</c:v>
                </c:pt>
                <c:pt idx="17">
                  <c:v>-8.041647107755546</c:v>
                </c:pt>
                <c:pt idx="18">
                  <c:v>-4.0361824466440277</c:v>
                </c:pt>
                <c:pt idx="19">
                  <c:v>7.4472159906525034E-15</c:v>
                </c:pt>
                <c:pt idx="20">
                  <c:v>4.0361824466440526</c:v>
                </c:pt>
                <c:pt idx="21">
                  <c:v>8.0416471077555407</c:v>
                </c:pt>
                <c:pt idx="22">
                  <c:v>11.985909978697739</c:v>
                </c:pt>
                <c:pt idx="23">
                  <c:v>15.838952837411707</c:v>
                </c:pt>
                <c:pt idx="24">
                  <c:v>19.571451701211785</c:v>
                </c:pt>
                <c:pt idx="25">
                  <c:v>23.154999999999973</c:v>
                </c:pt>
                <c:pt idx="26">
                  <c:v>26.562324767416928</c:v>
                </c:pt>
                <c:pt idx="27">
                  <c:v>29.767494204583635</c:v>
                </c:pt>
                <c:pt idx="28">
                  <c:v>32.746115036749011</c:v>
                </c:pt>
                <c:pt idx="29">
                  <c:v>35.475518160839862</c:v>
                </c:pt>
                <c:pt idx="30">
                  <c:v>37.934931171023223</c:v>
                </c:pt>
                <c:pt idx="31">
                  <c:v>40.105636449257361</c:v>
                </c:pt>
                <c:pt idx="32">
                  <c:v>41.971113617667257</c:v>
                </c:pt>
                <c:pt idx="33">
                  <c:v>43.517165268595413</c:v>
                </c:pt>
                <c:pt idx="34">
                  <c:v>44.732025015446744</c:v>
                </c:pt>
                <c:pt idx="35">
                  <c:v>45.606447041995352</c:v>
                </c:pt>
                <c:pt idx="36">
                  <c:v>46.133776468628731</c:v>
                </c:pt>
                <c:pt idx="37">
                  <c:v>46.309999999999995</c:v>
                </c:pt>
                <c:pt idx="38">
                  <c:v>46.309999999999995</c:v>
                </c:pt>
                <c:pt idx="39">
                  <c:v>46.133776468628731</c:v>
                </c:pt>
                <c:pt idx="40">
                  <c:v>45.606447041995345</c:v>
                </c:pt>
                <c:pt idx="41">
                  <c:v>44.732025015446752</c:v>
                </c:pt>
                <c:pt idx="42">
                  <c:v>43.51716526859542</c:v>
                </c:pt>
                <c:pt idx="43">
                  <c:v>41.971113617667271</c:v>
                </c:pt>
                <c:pt idx="44">
                  <c:v>40.105636449257339</c:v>
                </c:pt>
                <c:pt idx="45">
                  <c:v>37.934931171023187</c:v>
                </c:pt>
                <c:pt idx="46">
                  <c:v>35.475518160839854</c:v>
                </c:pt>
                <c:pt idx="47">
                  <c:v>32.746115036749003</c:v>
                </c:pt>
                <c:pt idx="48">
                  <c:v>29.767494204583642</c:v>
                </c:pt>
                <c:pt idx="49">
                  <c:v>26.562324767416957</c:v>
                </c:pt>
                <c:pt idx="50">
                  <c:v>23.155000000000019</c:v>
                </c:pt>
                <c:pt idx="51">
                  <c:v>19.571451701211775</c:v>
                </c:pt>
                <c:pt idx="52">
                  <c:v>15.838952837411709</c:v>
                </c:pt>
                <c:pt idx="53">
                  <c:v>11.985909978697729</c:v>
                </c:pt>
                <c:pt idx="54">
                  <c:v>8.0416471077555425</c:v>
                </c:pt>
                <c:pt idx="55">
                  <c:v>4.0361824466440535</c:v>
                </c:pt>
                <c:pt idx="56">
                  <c:v>4.9638551606589878E-14</c:v>
                </c:pt>
                <c:pt idx="57">
                  <c:v>-4.0361824466439948</c:v>
                </c:pt>
                <c:pt idx="58">
                  <c:v>-8.0416471077555265</c:v>
                </c:pt>
                <c:pt idx="59">
                  <c:v>-11.985909978697714</c:v>
                </c:pt>
                <c:pt idx="60">
                  <c:v>-15.83895283741173</c:v>
                </c:pt>
                <c:pt idx="61">
                  <c:v>-19.571451701211796</c:v>
                </c:pt>
                <c:pt idx="62">
                  <c:v>-23.155000000000001</c:v>
                </c:pt>
                <c:pt idx="63">
                  <c:v>-26.562324767416939</c:v>
                </c:pt>
                <c:pt idx="64">
                  <c:v>-29.767494204583631</c:v>
                </c:pt>
                <c:pt idx="65">
                  <c:v>-32.746115036749003</c:v>
                </c:pt>
                <c:pt idx="66">
                  <c:v>-35.475518160839854</c:v>
                </c:pt>
                <c:pt idx="67">
                  <c:v>-37.934931171023216</c:v>
                </c:pt>
                <c:pt idx="68">
                  <c:v>-40.105636449257339</c:v>
                </c:pt>
                <c:pt idx="69">
                  <c:v>-41.971113617667257</c:v>
                </c:pt>
                <c:pt idx="70">
                  <c:v>-43.517165268595413</c:v>
                </c:pt>
                <c:pt idx="71">
                  <c:v>-44.732025015446752</c:v>
                </c:pt>
                <c:pt idx="72">
                  <c:v>-45.606447041995345</c:v>
                </c:pt>
                <c:pt idx="73">
                  <c:v>-46.133776468628731</c:v>
                </c:pt>
                <c:pt idx="74">
                  <c:v>-46.309999999999995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7-AF45-B091-CDF912A4707E}"/>
            </c:ext>
          </c:extLst>
        </c:ser>
        <c:ser>
          <c:idx val="7"/>
          <c:order val="7"/>
          <c:tx>
            <c:strRef>
              <c:f>Lanes!$AJ$1</c:f>
              <c:strCache>
                <c:ptCount val="1"/>
                <c:pt idx="0">
                  <c:v>Lane 8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Lanes!$AM$3:$AM$77</c:f>
              <c:numCache>
                <c:formatCode>0.00</c:formatCode>
                <c:ptCount val="75"/>
                <c:pt idx="0">
                  <c:v>76.89</c:v>
                </c:pt>
                <c:pt idx="1">
                  <c:v>0</c:v>
                </c:pt>
                <c:pt idx="2">
                  <c:v>-4.142512452796197</c:v>
                </c:pt>
                <c:pt idx="3">
                  <c:v>-8.2534978845091942</c:v>
                </c:pt>
                <c:pt idx="4">
                  <c:v>-12.301669213722809</c:v>
                </c:pt>
                <c:pt idx="5">
                  <c:v>-16.256217412269038</c:v>
                </c:pt>
                <c:pt idx="6">
                  <c:v>-20.087045980535439</c:v>
                </c:pt>
                <c:pt idx="7">
                  <c:v>-23.764999999999993</c:v>
                </c:pt>
                <c:pt idx="8">
                  <c:v>-27.262088019765219</c:v>
                </c:pt>
                <c:pt idx="9">
                  <c:v>-30.551695088401207</c:v>
                </c:pt>
                <c:pt idx="10">
                  <c:v>-33.608785309796595</c:v>
                </c:pt>
                <c:pt idx="11">
                  <c:v>-36.410092381445018</c:v>
                </c:pt>
                <c:pt idx="12">
                  <c:v>-38.934296665055768</c:v>
                </c:pt>
                <c:pt idx="13">
                  <c:v>-41.162187441874359</c:v>
                </c:pt>
                <c:pt idx="14">
                  <c:v>-43.076809117851973</c:v>
                </c:pt>
                <c:pt idx="15">
                  <c:v>-44.66359026595422</c:v>
                </c:pt>
                <c:pt idx="16">
                  <c:v>-45.910454523519405</c:v>
                </c:pt>
                <c:pt idx="17">
                  <c:v>-46.807912500670241</c:v>
                </c:pt>
                <c:pt idx="18">
                  <c:v>-47.349134000300658</c:v>
                </c:pt>
                <c:pt idx="19">
                  <c:v>-47.529999999999994</c:v>
                </c:pt>
                <c:pt idx="20">
                  <c:v>-47.349134000300658</c:v>
                </c:pt>
                <c:pt idx="21">
                  <c:v>-46.807912500670241</c:v>
                </c:pt>
                <c:pt idx="22">
                  <c:v>-45.910454523519419</c:v>
                </c:pt>
                <c:pt idx="23">
                  <c:v>-44.66359026595422</c:v>
                </c:pt>
                <c:pt idx="24">
                  <c:v>-43.076809117851973</c:v>
                </c:pt>
                <c:pt idx="25">
                  <c:v>-41.16218744187438</c:v>
                </c:pt>
                <c:pt idx="26">
                  <c:v>-38.934296665055768</c:v>
                </c:pt>
                <c:pt idx="27">
                  <c:v>-36.410092381445018</c:v>
                </c:pt>
                <c:pt idx="28">
                  <c:v>-33.608785309796616</c:v>
                </c:pt>
                <c:pt idx="29">
                  <c:v>-30.551695088401218</c:v>
                </c:pt>
                <c:pt idx="30">
                  <c:v>-27.262088019765194</c:v>
                </c:pt>
                <c:pt idx="31">
                  <c:v>-23.764999999999993</c:v>
                </c:pt>
                <c:pt idx="32">
                  <c:v>-20.087045980535425</c:v>
                </c:pt>
                <c:pt idx="33">
                  <c:v>-16.256217412269059</c:v>
                </c:pt>
                <c:pt idx="34">
                  <c:v>-12.301669213722823</c:v>
                </c:pt>
                <c:pt idx="35">
                  <c:v>-8.2534978845091747</c:v>
                </c:pt>
                <c:pt idx="36">
                  <c:v>-4.1425124527961721</c:v>
                </c:pt>
                <c:pt idx="37">
                  <c:v>-5.8207462363473694E-15</c:v>
                </c:pt>
                <c:pt idx="38">
                  <c:v>76.889999999999986</c:v>
                </c:pt>
                <c:pt idx="39">
                  <c:v>81.032512452796198</c:v>
                </c:pt>
                <c:pt idx="40">
                  <c:v>85.143497884509159</c:v>
                </c:pt>
                <c:pt idx="41">
                  <c:v>89.191669213722818</c:v>
                </c:pt>
                <c:pt idx="42">
                  <c:v>93.146217412269053</c:v>
                </c:pt>
                <c:pt idx="43">
                  <c:v>96.977045980535422</c:v>
                </c:pt>
                <c:pt idx="44">
                  <c:v>100.655</c:v>
                </c:pt>
                <c:pt idx="45">
                  <c:v>104.15208801976524</c:v>
                </c:pt>
                <c:pt idx="46">
                  <c:v>107.44169508840119</c:v>
                </c:pt>
                <c:pt idx="47">
                  <c:v>110.4987853097966</c:v>
                </c:pt>
                <c:pt idx="48">
                  <c:v>113.30009238144504</c:v>
                </c:pt>
                <c:pt idx="49">
                  <c:v>115.82429666505575</c:v>
                </c:pt>
                <c:pt idx="50">
                  <c:v>118.05218744187435</c:v>
                </c:pt>
                <c:pt idx="51">
                  <c:v>119.96680911785197</c:v>
                </c:pt>
                <c:pt idx="52">
                  <c:v>121.55359026595423</c:v>
                </c:pt>
                <c:pt idx="53">
                  <c:v>122.80045452351942</c:v>
                </c:pt>
                <c:pt idx="54">
                  <c:v>123.69791250067024</c:v>
                </c:pt>
                <c:pt idx="55">
                  <c:v>124.23913400030065</c:v>
                </c:pt>
                <c:pt idx="56">
                  <c:v>124.41999999999999</c:v>
                </c:pt>
                <c:pt idx="57">
                  <c:v>124.23913400030065</c:v>
                </c:pt>
                <c:pt idx="58">
                  <c:v>123.69791250067024</c:v>
                </c:pt>
                <c:pt idx="59">
                  <c:v>122.80045452351942</c:v>
                </c:pt>
                <c:pt idx="60">
                  <c:v>121.55359026595423</c:v>
                </c:pt>
                <c:pt idx="61">
                  <c:v>119.96680911785197</c:v>
                </c:pt>
                <c:pt idx="62">
                  <c:v>118.05218744187437</c:v>
                </c:pt>
                <c:pt idx="63">
                  <c:v>115.82429666505581</c:v>
                </c:pt>
                <c:pt idx="64">
                  <c:v>113.30009238144503</c:v>
                </c:pt>
                <c:pt idx="65">
                  <c:v>110.4987853097966</c:v>
                </c:pt>
                <c:pt idx="66">
                  <c:v>107.44169508840122</c:v>
                </c:pt>
                <c:pt idx="67">
                  <c:v>104.1520880197652</c:v>
                </c:pt>
                <c:pt idx="68">
                  <c:v>100.65500000000002</c:v>
                </c:pt>
                <c:pt idx="69">
                  <c:v>96.977045980535436</c:v>
                </c:pt>
                <c:pt idx="70">
                  <c:v>93.146217412269024</c:v>
                </c:pt>
                <c:pt idx="71">
                  <c:v>89.191669213722804</c:v>
                </c:pt>
                <c:pt idx="72">
                  <c:v>85.143497884509244</c:v>
                </c:pt>
                <c:pt idx="73">
                  <c:v>81.032512452796198</c:v>
                </c:pt>
                <c:pt idx="74">
                  <c:v>76.890000000000015</c:v>
                </c:pt>
              </c:numCache>
            </c:numRef>
          </c:xVal>
          <c:yVal>
            <c:numRef>
              <c:f>Lanes!$AN$3:$AN$77</c:f>
              <c:numCache>
                <c:formatCode>0.00</c:formatCode>
                <c:ptCount val="75"/>
                <c:pt idx="0">
                  <c:v>-47.529999999999994</c:v>
                </c:pt>
                <c:pt idx="1">
                  <c:v>-47.529999999999994</c:v>
                </c:pt>
                <c:pt idx="2">
                  <c:v>-47.349134000300658</c:v>
                </c:pt>
                <c:pt idx="3">
                  <c:v>-46.807912500670241</c:v>
                </c:pt>
                <c:pt idx="4">
                  <c:v>-45.910454523519412</c:v>
                </c:pt>
                <c:pt idx="5">
                  <c:v>-44.66359026595422</c:v>
                </c:pt>
                <c:pt idx="6">
                  <c:v>-43.076809117851965</c:v>
                </c:pt>
                <c:pt idx="7">
                  <c:v>-41.162187441874366</c:v>
                </c:pt>
                <c:pt idx="8">
                  <c:v>-38.934296665055776</c:v>
                </c:pt>
                <c:pt idx="9">
                  <c:v>-36.410092381445025</c:v>
                </c:pt>
                <c:pt idx="10">
                  <c:v>-33.608785309796602</c:v>
                </c:pt>
                <c:pt idx="11">
                  <c:v>-30.55169508840121</c:v>
                </c:pt>
                <c:pt idx="12">
                  <c:v>-27.262088019765219</c:v>
                </c:pt>
                <c:pt idx="13">
                  <c:v>-23.765000000000001</c:v>
                </c:pt>
                <c:pt idx="14">
                  <c:v>-20.087045980535432</c:v>
                </c:pt>
                <c:pt idx="15">
                  <c:v>-16.256217412269049</c:v>
                </c:pt>
                <c:pt idx="16">
                  <c:v>-12.301669213722819</c:v>
                </c:pt>
                <c:pt idx="17">
                  <c:v>-8.2534978845092013</c:v>
                </c:pt>
                <c:pt idx="18">
                  <c:v>-4.1425124527961907</c:v>
                </c:pt>
                <c:pt idx="19">
                  <c:v>-1.3464153190260422E-14</c:v>
                </c:pt>
                <c:pt idx="20">
                  <c:v>4.1425124527961952</c:v>
                </c:pt>
                <c:pt idx="21">
                  <c:v>8.2534978845092173</c:v>
                </c:pt>
                <c:pt idx="22">
                  <c:v>12.301669213722793</c:v>
                </c:pt>
                <c:pt idx="23">
                  <c:v>16.256217412269041</c:v>
                </c:pt>
                <c:pt idx="24">
                  <c:v>20.087045980535436</c:v>
                </c:pt>
                <c:pt idx="25">
                  <c:v>23.764999999999972</c:v>
                </c:pt>
                <c:pt idx="26">
                  <c:v>27.262088019765219</c:v>
                </c:pt>
                <c:pt idx="27">
                  <c:v>30.55169508840121</c:v>
                </c:pt>
                <c:pt idx="28">
                  <c:v>33.608785309796581</c:v>
                </c:pt>
                <c:pt idx="29">
                  <c:v>36.410092381445018</c:v>
                </c:pt>
                <c:pt idx="30">
                  <c:v>38.93429666505579</c:v>
                </c:pt>
                <c:pt idx="31">
                  <c:v>41.162187441874366</c:v>
                </c:pt>
                <c:pt idx="32">
                  <c:v>43.07680911785198</c:v>
                </c:pt>
                <c:pt idx="33">
                  <c:v>44.663590265954213</c:v>
                </c:pt>
                <c:pt idx="34">
                  <c:v>45.910454523519405</c:v>
                </c:pt>
                <c:pt idx="35">
                  <c:v>46.807912500670248</c:v>
                </c:pt>
                <c:pt idx="36">
                  <c:v>47.349134000300658</c:v>
                </c:pt>
                <c:pt idx="37">
                  <c:v>47.529999999999994</c:v>
                </c:pt>
                <c:pt idx="38">
                  <c:v>47.529999999999994</c:v>
                </c:pt>
                <c:pt idx="39">
                  <c:v>47.349134000300658</c:v>
                </c:pt>
                <c:pt idx="40">
                  <c:v>46.807912500670248</c:v>
                </c:pt>
                <c:pt idx="41">
                  <c:v>45.910454523519412</c:v>
                </c:pt>
                <c:pt idx="42">
                  <c:v>44.663590265954213</c:v>
                </c:pt>
                <c:pt idx="43">
                  <c:v>43.07680911785198</c:v>
                </c:pt>
                <c:pt idx="44">
                  <c:v>41.162187441874359</c:v>
                </c:pt>
                <c:pt idx="45">
                  <c:v>38.934296665055761</c:v>
                </c:pt>
                <c:pt idx="46">
                  <c:v>36.41009238144504</c:v>
                </c:pt>
                <c:pt idx="47">
                  <c:v>33.608785309796609</c:v>
                </c:pt>
                <c:pt idx="48">
                  <c:v>30.551695088401186</c:v>
                </c:pt>
                <c:pt idx="49">
                  <c:v>27.26208801976523</c:v>
                </c:pt>
                <c:pt idx="50">
                  <c:v>23.765000000000018</c:v>
                </c:pt>
                <c:pt idx="51">
                  <c:v>20.087045980535429</c:v>
                </c:pt>
                <c:pt idx="52">
                  <c:v>16.256217412269024</c:v>
                </c:pt>
                <c:pt idx="53">
                  <c:v>12.301669213722803</c:v>
                </c:pt>
                <c:pt idx="54">
                  <c:v>8.2534978845092386</c:v>
                </c:pt>
                <c:pt idx="55">
                  <c:v>4.1425124527961961</c:v>
                </c:pt>
                <c:pt idx="56">
                  <c:v>8.7311193545210532E-15</c:v>
                </c:pt>
                <c:pt idx="57">
                  <c:v>-4.1425124527961792</c:v>
                </c:pt>
                <c:pt idx="58">
                  <c:v>-8.2534978845092208</c:v>
                </c:pt>
                <c:pt idx="59">
                  <c:v>-12.301669213722787</c:v>
                </c:pt>
                <c:pt idx="60">
                  <c:v>-16.256217412269045</c:v>
                </c:pt>
                <c:pt idx="61">
                  <c:v>-20.08704598053545</c:v>
                </c:pt>
                <c:pt idx="62">
                  <c:v>-23.765000000000001</c:v>
                </c:pt>
                <c:pt idx="63">
                  <c:v>-27.262088019765184</c:v>
                </c:pt>
                <c:pt idx="64">
                  <c:v>-30.551695088401207</c:v>
                </c:pt>
                <c:pt idx="65">
                  <c:v>-33.608785309796595</c:v>
                </c:pt>
                <c:pt idx="66">
                  <c:v>-36.410092381445011</c:v>
                </c:pt>
                <c:pt idx="67">
                  <c:v>-38.934296665055783</c:v>
                </c:pt>
                <c:pt idx="68">
                  <c:v>-41.162187441874352</c:v>
                </c:pt>
                <c:pt idx="69">
                  <c:v>-43.076809117851973</c:v>
                </c:pt>
                <c:pt idx="70">
                  <c:v>-44.66359026595422</c:v>
                </c:pt>
                <c:pt idx="71">
                  <c:v>-45.910454523519412</c:v>
                </c:pt>
                <c:pt idx="72">
                  <c:v>-46.807912500670234</c:v>
                </c:pt>
                <c:pt idx="73">
                  <c:v>-47.349134000300658</c:v>
                </c:pt>
                <c:pt idx="74">
                  <c:v>-47.529999999999994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7-AF45-B091-CDF912A4707E}"/>
            </c:ext>
          </c:extLst>
        </c:ser>
        <c:ser>
          <c:idx val="8"/>
          <c:order val="8"/>
          <c:tx>
            <c:strRef>
              <c:f>Lanes!$AO$1</c:f>
              <c:strCache>
                <c:ptCount val="1"/>
                <c:pt idx="0">
                  <c:v>Lane 9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Lanes!$AR$3:$AR$77</c:f>
              <c:numCache>
                <c:formatCode>0.00</c:formatCode>
                <c:ptCount val="75"/>
                <c:pt idx="0">
                  <c:v>76.89</c:v>
                </c:pt>
                <c:pt idx="1">
                  <c:v>0</c:v>
                </c:pt>
                <c:pt idx="2">
                  <c:v>-4.2488424589483351</c:v>
                </c:pt>
                <c:pt idx="3">
                  <c:v>-8.465348661262853</c:v>
                </c:pt>
                <c:pt idx="4">
                  <c:v>-12.617428448747884</c:v>
                </c:pt>
                <c:pt idx="5">
                  <c:v>-16.673481987126348</c:v>
                </c:pt>
                <c:pt idx="6">
                  <c:v>-20.602640259859093</c:v>
                </c:pt>
                <c:pt idx="7">
                  <c:v>-24.374999999999993</c:v>
                </c:pt>
                <c:pt idx="8">
                  <c:v>-27.961851272113492</c:v>
                </c:pt>
                <c:pt idx="9">
                  <c:v>-31.335895972218783</c:v>
                </c:pt>
                <c:pt idx="10">
                  <c:v>-34.471455582844186</c:v>
                </c:pt>
                <c:pt idx="11">
                  <c:v>-37.344666602050175</c:v>
                </c:pt>
                <c:pt idx="12">
                  <c:v>-39.933662159088342</c:v>
                </c:pt>
                <c:pt idx="13">
                  <c:v>-42.218738434491371</c:v>
                </c:pt>
                <c:pt idx="14">
                  <c:v>-44.182504618036681</c:v>
                </c:pt>
                <c:pt idx="15">
                  <c:v>-45.810015263313026</c:v>
                </c:pt>
                <c:pt idx="16">
                  <c:v>-47.088884031592073</c:v>
                </c:pt>
                <c:pt idx="17">
                  <c:v>-48.009377959345137</c:v>
                </c:pt>
                <c:pt idx="18">
                  <c:v>-48.564491531972585</c:v>
                </c:pt>
                <c:pt idx="19">
                  <c:v>-48.749999999999993</c:v>
                </c:pt>
                <c:pt idx="20">
                  <c:v>-48.564491531972585</c:v>
                </c:pt>
                <c:pt idx="21">
                  <c:v>-48.009377959345137</c:v>
                </c:pt>
                <c:pt idx="22">
                  <c:v>-47.088884031592073</c:v>
                </c:pt>
                <c:pt idx="23">
                  <c:v>-45.810015263313026</c:v>
                </c:pt>
                <c:pt idx="24">
                  <c:v>-44.182504618036681</c:v>
                </c:pt>
                <c:pt idx="25">
                  <c:v>-42.218738434491378</c:v>
                </c:pt>
                <c:pt idx="26">
                  <c:v>-39.933662159088342</c:v>
                </c:pt>
                <c:pt idx="27">
                  <c:v>-37.344666602050161</c:v>
                </c:pt>
                <c:pt idx="28">
                  <c:v>-34.471455582844186</c:v>
                </c:pt>
                <c:pt idx="29">
                  <c:v>-31.335895972218811</c:v>
                </c:pt>
                <c:pt idx="30">
                  <c:v>-27.961851272113485</c:v>
                </c:pt>
                <c:pt idx="31">
                  <c:v>-24.374999999999975</c:v>
                </c:pt>
                <c:pt idx="32">
                  <c:v>-20.602640259859097</c:v>
                </c:pt>
                <c:pt idx="33">
                  <c:v>-16.673481987126355</c:v>
                </c:pt>
                <c:pt idx="34">
                  <c:v>-12.617428448747898</c:v>
                </c:pt>
                <c:pt idx="35">
                  <c:v>-8.4653486612628281</c:v>
                </c:pt>
                <c:pt idx="36">
                  <c:v>-4.2488424589483147</c:v>
                </c:pt>
                <c:pt idx="37">
                  <c:v>-5.9701531458433464E-15</c:v>
                </c:pt>
                <c:pt idx="38">
                  <c:v>76.889999999999986</c:v>
                </c:pt>
                <c:pt idx="39">
                  <c:v>81.138842458948304</c:v>
                </c:pt>
                <c:pt idx="40">
                  <c:v>85.35534866126288</c:v>
                </c:pt>
                <c:pt idx="41">
                  <c:v>89.507428448747902</c:v>
                </c:pt>
                <c:pt idx="42">
                  <c:v>93.563481987126352</c:v>
                </c:pt>
                <c:pt idx="43">
                  <c:v>97.492640259859073</c:v>
                </c:pt>
                <c:pt idx="44">
                  <c:v>101.26499999999997</c:v>
                </c:pt>
                <c:pt idx="45">
                  <c:v>104.85185127211349</c:v>
                </c:pt>
                <c:pt idx="46">
                  <c:v>108.22589597221878</c:v>
                </c:pt>
                <c:pt idx="47">
                  <c:v>111.36145558284419</c:v>
                </c:pt>
                <c:pt idx="48">
                  <c:v>114.2346666020502</c:v>
                </c:pt>
                <c:pt idx="49">
                  <c:v>116.82366215908834</c:v>
                </c:pt>
                <c:pt idx="50">
                  <c:v>119.10873843449136</c:v>
                </c:pt>
                <c:pt idx="51">
                  <c:v>121.07250461803667</c:v>
                </c:pt>
                <c:pt idx="52">
                  <c:v>122.70001526331302</c:v>
                </c:pt>
                <c:pt idx="53">
                  <c:v>123.97888403159207</c:v>
                </c:pt>
                <c:pt idx="54">
                  <c:v>124.89937795934514</c:v>
                </c:pt>
                <c:pt idx="55">
                  <c:v>125.45449153197259</c:v>
                </c:pt>
                <c:pt idx="56">
                  <c:v>125.63999999999999</c:v>
                </c:pt>
                <c:pt idx="57">
                  <c:v>125.45449153197259</c:v>
                </c:pt>
                <c:pt idx="58">
                  <c:v>124.89937795934514</c:v>
                </c:pt>
                <c:pt idx="59">
                  <c:v>123.97888403159209</c:v>
                </c:pt>
                <c:pt idx="60">
                  <c:v>122.70001526331302</c:v>
                </c:pt>
                <c:pt idx="61">
                  <c:v>121.07250461803667</c:v>
                </c:pt>
                <c:pt idx="62">
                  <c:v>119.10873843449139</c:v>
                </c:pt>
                <c:pt idx="63">
                  <c:v>116.82366215908834</c:v>
                </c:pt>
                <c:pt idx="64">
                  <c:v>114.23466660205017</c:v>
                </c:pt>
                <c:pt idx="65">
                  <c:v>111.3614555828442</c:v>
                </c:pt>
                <c:pt idx="66">
                  <c:v>108.22589597221881</c:v>
                </c:pt>
                <c:pt idx="67">
                  <c:v>104.85185127211352</c:v>
                </c:pt>
                <c:pt idx="68">
                  <c:v>101.26500000000001</c:v>
                </c:pt>
                <c:pt idx="69">
                  <c:v>97.492640259859087</c:v>
                </c:pt>
                <c:pt idx="70">
                  <c:v>93.563481987126337</c:v>
                </c:pt>
                <c:pt idx="71">
                  <c:v>89.507428448747888</c:v>
                </c:pt>
                <c:pt idx="72">
                  <c:v>85.355348661262852</c:v>
                </c:pt>
                <c:pt idx="73">
                  <c:v>81.138842458948346</c:v>
                </c:pt>
                <c:pt idx="74">
                  <c:v>76.890000000000015</c:v>
                </c:pt>
              </c:numCache>
            </c:numRef>
          </c:xVal>
          <c:yVal>
            <c:numRef>
              <c:f>Lanes!$AS$3:$AS$77</c:f>
              <c:numCache>
                <c:formatCode>0.00</c:formatCode>
                <c:ptCount val="75"/>
                <c:pt idx="0">
                  <c:v>-48.749999999999993</c:v>
                </c:pt>
                <c:pt idx="1">
                  <c:v>-48.749999999999993</c:v>
                </c:pt>
                <c:pt idx="2">
                  <c:v>-48.564491531972585</c:v>
                </c:pt>
                <c:pt idx="3">
                  <c:v>-48.009377959345137</c:v>
                </c:pt>
                <c:pt idx="4">
                  <c:v>-47.088884031592073</c:v>
                </c:pt>
                <c:pt idx="5">
                  <c:v>-45.810015263313026</c:v>
                </c:pt>
                <c:pt idx="6">
                  <c:v>-44.182504618036681</c:v>
                </c:pt>
                <c:pt idx="7">
                  <c:v>-42.218738434491378</c:v>
                </c:pt>
                <c:pt idx="8">
                  <c:v>-39.933662159088342</c:v>
                </c:pt>
                <c:pt idx="9">
                  <c:v>-37.344666602050175</c:v>
                </c:pt>
                <c:pt idx="10">
                  <c:v>-34.471455582844186</c:v>
                </c:pt>
                <c:pt idx="11">
                  <c:v>-31.33589597221879</c:v>
                </c:pt>
                <c:pt idx="12">
                  <c:v>-27.961851272113492</c:v>
                </c:pt>
                <c:pt idx="13">
                  <c:v>-24.375000000000014</c:v>
                </c:pt>
                <c:pt idx="14">
                  <c:v>-20.602640259859093</c:v>
                </c:pt>
                <c:pt idx="15">
                  <c:v>-16.67348198712634</c:v>
                </c:pt>
                <c:pt idx="16">
                  <c:v>-12.617428448747884</c:v>
                </c:pt>
                <c:pt idx="17">
                  <c:v>-8.4653486612628672</c:v>
                </c:pt>
                <c:pt idx="18">
                  <c:v>-4.2488424589483333</c:v>
                </c:pt>
                <c:pt idx="19">
                  <c:v>7.8395979171736023E-15</c:v>
                </c:pt>
                <c:pt idx="20">
                  <c:v>4.2488424589483387</c:v>
                </c:pt>
                <c:pt idx="21">
                  <c:v>8.4653486612628406</c:v>
                </c:pt>
                <c:pt idx="22">
                  <c:v>12.617428448747889</c:v>
                </c:pt>
                <c:pt idx="23">
                  <c:v>16.673481987126358</c:v>
                </c:pt>
                <c:pt idx="24">
                  <c:v>20.60264025985909</c:v>
                </c:pt>
                <c:pt idx="25">
                  <c:v>24.374999999999989</c:v>
                </c:pt>
                <c:pt idx="26">
                  <c:v>27.961851272113496</c:v>
                </c:pt>
                <c:pt idx="27">
                  <c:v>31.335895972218804</c:v>
                </c:pt>
                <c:pt idx="28">
                  <c:v>34.471455582844186</c:v>
                </c:pt>
                <c:pt idx="29">
                  <c:v>37.344666602050154</c:v>
                </c:pt>
                <c:pt idx="30">
                  <c:v>39.93366215908835</c:v>
                </c:pt>
                <c:pt idx="31">
                  <c:v>42.218738434491392</c:v>
                </c:pt>
                <c:pt idx="32">
                  <c:v>44.182504618036681</c:v>
                </c:pt>
                <c:pt idx="33">
                  <c:v>45.810015263313026</c:v>
                </c:pt>
                <c:pt idx="34">
                  <c:v>47.088884031592066</c:v>
                </c:pt>
                <c:pt idx="35">
                  <c:v>48.009377959345137</c:v>
                </c:pt>
                <c:pt idx="36">
                  <c:v>48.564491531972585</c:v>
                </c:pt>
                <c:pt idx="37">
                  <c:v>48.749999999999993</c:v>
                </c:pt>
                <c:pt idx="38">
                  <c:v>48.749999999999993</c:v>
                </c:pt>
                <c:pt idx="39">
                  <c:v>48.564491531972585</c:v>
                </c:pt>
                <c:pt idx="40">
                  <c:v>48.00937795934513</c:v>
                </c:pt>
                <c:pt idx="41">
                  <c:v>47.088884031592066</c:v>
                </c:pt>
                <c:pt idx="42">
                  <c:v>45.810015263313026</c:v>
                </c:pt>
                <c:pt idx="43">
                  <c:v>44.182504618036695</c:v>
                </c:pt>
                <c:pt idx="44">
                  <c:v>42.218738434491399</c:v>
                </c:pt>
                <c:pt idx="45">
                  <c:v>39.933662159088342</c:v>
                </c:pt>
                <c:pt idx="46">
                  <c:v>37.344666602050175</c:v>
                </c:pt>
                <c:pt idx="47">
                  <c:v>34.471455582844193</c:v>
                </c:pt>
                <c:pt idx="48">
                  <c:v>31.335895972218761</c:v>
                </c:pt>
                <c:pt idx="49">
                  <c:v>27.961851272113506</c:v>
                </c:pt>
                <c:pt idx="50">
                  <c:v>24.375000000000018</c:v>
                </c:pt>
                <c:pt idx="51">
                  <c:v>20.602640259859083</c:v>
                </c:pt>
                <c:pt idx="52">
                  <c:v>16.67348198712638</c:v>
                </c:pt>
                <c:pt idx="53">
                  <c:v>12.617428448747878</c:v>
                </c:pt>
                <c:pt idx="54">
                  <c:v>8.465348661262853</c:v>
                </c:pt>
                <c:pt idx="55">
                  <c:v>4.2488424589483387</c:v>
                </c:pt>
                <c:pt idx="56">
                  <c:v>-3.4343468241616075E-14</c:v>
                </c:pt>
                <c:pt idx="57">
                  <c:v>-4.2488424589483218</c:v>
                </c:pt>
                <c:pt idx="58">
                  <c:v>-8.4653486612628353</c:v>
                </c:pt>
                <c:pt idx="59">
                  <c:v>-12.617428448747862</c:v>
                </c:pt>
                <c:pt idx="60">
                  <c:v>-16.673481987126362</c:v>
                </c:pt>
                <c:pt idx="61">
                  <c:v>-20.602640259859104</c:v>
                </c:pt>
                <c:pt idx="62">
                  <c:v>-24.375000000000004</c:v>
                </c:pt>
                <c:pt idx="63">
                  <c:v>-27.961851272113492</c:v>
                </c:pt>
                <c:pt idx="64">
                  <c:v>-31.335895972218783</c:v>
                </c:pt>
                <c:pt idx="65">
                  <c:v>-34.471455582844179</c:v>
                </c:pt>
                <c:pt idx="66">
                  <c:v>-37.344666602050161</c:v>
                </c:pt>
                <c:pt idx="67">
                  <c:v>-39.933662159088335</c:v>
                </c:pt>
                <c:pt idx="68">
                  <c:v>-42.218738434491364</c:v>
                </c:pt>
                <c:pt idx="69">
                  <c:v>-44.182504618036681</c:v>
                </c:pt>
                <c:pt idx="70">
                  <c:v>-45.810015263313026</c:v>
                </c:pt>
                <c:pt idx="71">
                  <c:v>-47.088884031592073</c:v>
                </c:pt>
                <c:pt idx="72">
                  <c:v>-48.009377959345137</c:v>
                </c:pt>
                <c:pt idx="73">
                  <c:v>-48.564491531972585</c:v>
                </c:pt>
                <c:pt idx="74">
                  <c:v>-48.749999999999993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7-AF45-B091-CDF912A4707E}"/>
            </c:ext>
          </c:extLst>
        </c:ser>
        <c:ser>
          <c:idx val="12"/>
          <c:order val="9"/>
          <c:tx>
            <c:strRef>
              <c:f>Lanes!$AT$1</c:f>
              <c:strCache>
                <c:ptCount val="1"/>
                <c:pt idx="0">
                  <c:v>Finish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Lanes!$AV$3:$AV$4</c:f>
              <c:numCache>
                <c:formatCode>0.00</c:formatCode>
                <c:ptCount val="2"/>
                <c:pt idx="0">
                  <c:v>76.89</c:v>
                </c:pt>
                <c:pt idx="1">
                  <c:v>76.89</c:v>
                </c:pt>
              </c:numCache>
            </c:numRef>
          </c:xVal>
          <c:yVal>
            <c:numRef>
              <c:f>Lanes!$AW$3:$AW$4</c:f>
              <c:numCache>
                <c:formatCode>0.00</c:formatCode>
                <c:ptCount val="2"/>
                <c:pt idx="0">
                  <c:v>-38.99</c:v>
                </c:pt>
                <c:pt idx="1">
                  <c:v>-48.749999999999993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6477-AF45-B091-CDF912A4707E}"/>
            </c:ext>
          </c:extLst>
        </c:ser>
        <c:ser>
          <c:idx val="9"/>
          <c:order val="10"/>
          <c:tx>
            <c:strRef>
              <c:f>Landmarks!$A$1</c:f>
              <c:strCache>
                <c:ptCount val="1"/>
                <c:pt idx="0">
                  <c:v>Landmarks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A7FA532-21A9-8D45-9DDB-79379004A0A8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477-AF45-B091-CDF912A4707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5ED5F30-739C-234B-A453-7ADCC86B3A7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477-AF45-B091-CDF912A4707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D7E793D-DFA5-2C4B-A366-F893B1B4CD9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477-AF45-B091-CDF912A4707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45BC2DC-532C-FD4B-B928-5D619581C0D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477-AF45-B091-CDF912A4707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B4F69E2-8EC6-7A42-883E-4121F53FF30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477-AF45-B091-CDF912A4707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5E4081A-FE73-2942-A4DB-8F66C26BF78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477-AF45-B091-CDF912A4707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2714495-F3EF-2442-ADF8-C45BC2C2EF0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477-AF45-B091-CDF912A4707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7F628A2-E55E-094F-BB8F-81E355DEDFC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477-AF45-B091-CDF912A4707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2E8EE1D-9ACD-7F4E-826C-211CF9F6605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477-AF45-B091-CDF912A4707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33F9AE0-DFA7-AE4E-A733-461D232D7F3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477-AF45-B091-CDF912A4707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7DBA5FF-0943-084E-B25E-F45343DD4C9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477-AF45-B091-CDF912A4707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7EA517B-ED4D-F548-8930-D73C24EBCB2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477-AF45-B091-CDF912A4707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D655B29-6444-D742-8BCF-A0A1039641A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477-AF45-B091-CDF912A4707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908B82B-D0D2-B947-BCB5-84117DA130A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477-AF45-B091-CDF912A4707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4E6A1B1-3B91-374F-B865-325F0B1074E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477-AF45-B091-CDF912A4707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CDC2B8F-D1EE-8342-BBD7-01A6F2FB809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477-AF45-B091-CDF912A4707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80679E5-3248-4149-BBE4-B65B5EF7CC5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6477-AF45-B091-CDF912A4707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3E25A64-2B5D-1C48-80A2-8E71366101B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6477-AF45-B091-CDF912A4707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43B471C-0635-9347-AB6F-889F4F917E4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6477-AF45-B091-CDF912A4707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0521C8E-504C-CD4E-9067-415D23431D3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6477-AF45-B091-CDF912A4707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742C6D5-4ACC-5C46-BAB0-0966995C343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6477-AF45-B091-CDF912A4707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477-AF45-B091-CDF912A4707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6477-AF45-B091-CDF912A4707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6477-AF45-B091-CDF912A4707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6477-AF45-B091-CDF912A4707E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6477-AF45-B091-CDF912A4707E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6477-AF45-B091-CDF912A4707E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6477-AF45-B091-CDF912A4707E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6477-AF45-B091-CDF912A4707E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6477-AF45-B091-CDF912A4707E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6477-AF45-B091-CDF912A4707E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6477-AF45-B091-CDF912A4707E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6477-AF45-B091-CDF912A4707E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6477-AF45-B091-CDF912A4707E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6477-AF45-B091-CDF912A4707E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6477-AF45-B091-CDF912A470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Landmarks!$B$3:$B$38</c:f>
              <c:numCache>
                <c:formatCode>General</c:formatCode>
                <c:ptCount val="36"/>
                <c:pt idx="0">
                  <c:v>0</c:v>
                </c:pt>
                <c:pt idx="1">
                  <c:v>76.89</c:v>
                </c:pt>
                <c:pt idx="2">
                  <c:v>0</c:v>
                </c:pt>
                <c:pt idx="3">
                  <c:v>76.89</c:v>
                </c:pt>
                <c:pt idx="4">
                  <c:v>0</c:v>
                </c:pt>
                <c:pt idx="5">
                  <c:v>76.89</c:v>
                </c:pt>
                <c:pt idx="6" formatCode="0.00">
                  <c:v>50.93</c:v>
                </c:pt>
                <c:pt idx="7" formatCode="0.00">
                  <c:v>-28.62</c:v>
                </c:pt>
                <c:pt idx="8" formatCode="0.00">
                  <c:v>-33.340000000000003</c:v>
                </c:pt>
                <c:pt idx="9">
                  <c:v>0</c:v>
                </c:pt>
                <c:pt idx="10" formatCode="0.00">
                  <c:v>76.89</c:v>
                </c:pt>
                <c:pt idx="11" formatCode="0.00">
                  <c:v>0</c:v>
                </c:pt>
                <c:pt idx="12" formatCode="0.00">
                  <c:v>76.89</c:v>
                </c:pt>
                <c:pt idx="13" formatCode="0.00">
                  <c:v>-50.57</c:v>
                </c:pt>
                <c:pt idx="14" formatCode="0.00">
                  <c:v>119.75</c:v>
                </c:pt>
                <c:pt idx="15" formatCode="0.00">
                  <c:v>94.11</c:v>
                </c:pt>
                <c:pt idx="16" formatCode="0.00">
                  <c:v>108.67</c:v>
                </c:pt>
                <c:pt idx="17" formatCode="0.00">
                  <c:v>8.24</c:v>
                </c:pt>
                <c:pt idx="18" formatCode="0.00">
                  <c:v>126.54</c:v>
                </c:pt>
                <c:pt idx="19">
                  <c:v>-23.11</c:v>
                </c:pt>
                <c:pt idx="20">
                  <c:v>-23.11</c:v>
                </c:pt>
              </c:numCache>
            </c:numRef>
          </c:xVal>
          <c:yVal>
            <c:numRef>
              <c:f>Landmarks!$C$3:$C$38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38.99</c:v>
                </c:pt>
                <c:pt idx="3">
                  <c:v>38.99</c:v>
                </c:pt>
                <c:pt idx="4">
                  <c:v>-38.99</c:v>
                </c:pt>
                <c:pt idx="5">
                  <c:v>-38.99</c:v>
                </c:pt>
                <c:pt idx="6" formatCode="0.00">
                  <c:v>33.190000000000005</c:v>
                </c:pt>
                <c:pt idx="7" formatCode="0.00">
                  <c:v>12.11</c:v>
                </c:pt>
                <c:pt idx="8" formatCode="0.00">
                  <c:v>0.5</c:v>
                </c:pt>
                <c:pt idx="9">
                  <c:v>50.589999999999996</c:v>
                </c:pt>
                <c:pt idx="10" formatCode="0.00">
                  <c:v>49.529999999999994</c:v>
                </c:pt>
                <c:pt idx="11" formatCode="0.00">
                  <c:v>-49.809999999999995</c:v>
                </c:pt>
                <c:pt idx="12" formatCode="0.00">
                  <c:v>-50.069999999999993</c:v>
                </c:pt>
                <c:pt idx="13" formatCode="0.00">
                  <c:v>0</c:v>
                </c:pt>
                <c:pt idx="14" formatCode="0.00">
                  <c:v>25.67</c:v>
                </c:pt>
                <c:pt idx="15" formatCode="0.00">
                  <c:v>-47.14</c:v>
                </c:pt>
                <c:pt idx="16" formatCode="0.00">
                  <c:v>-38.770000000000003</c:v>
                </c:pt>
                <c:pt idx="17" formatCode="0.00">
                  <c:v>-34.96</c:v>
                </c:pt>
                <c:pt idx="18" formatCode="0.00">
                  <c:v>0</c:v>
                </c:pt>
                <c:pt idx="19">
                  <c:v>-38.99</c:v>
                </c:pt>
                <c:pt idx="20">
                  <c:v>-48.749999999999993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Landmarks!$A$3:$A$38</c15:f>
                <c15:dlblRangeCache>
                  <c:ptCount val="36"/>
                  <c:pt idx="0">
                    <c:v>X</c:v>
                  </c:pt>
                  <c:pt idx="1">
                    <c:v>Y</c:v>
                  </c:pt>
                  <c:pt idx="2">
                    <c:v>A</c:v>
                  </c:pt>
                  <c:pt idx="3">
                    <c:v>B</c:v>
                  </c:pt>
                  <c:pt idx="4">
                    <c:v>C</c:v>
                  </c:pt>
                  <c:pt idx="5">
                    <c:v>D</c:v>
                  </c:pt>
                  <c:pt idx="6">
                    <c:v>DH (SP2)</c:v>
                  </c:pt>
                  <c:pt idx="7">
                    <c:v>DH (SP6)</c:v>
                  </c:pt>
                  <c:pt idx="8">
                    <c:v>DH (SP7)</c:v>
                  </c:pt>
                  <c:pt idx="9">
                    <c:v>NIP (A)</c:v>
                  </c:pt>
                  <c:pt idx="10">
                    <c:v>NIP (B)</c:v>
                  </c:pt>
                  <c:pt idx="11">
                    <c:v>NIP (C)</c:v>
                  </c:pt>
                  <c:pt idx="12">
                    <c:v>NIP (D)</c:v>
                  </c:pt>
                  <c:pt idx="13">
                    <c:v>NIP (X)</c:v>
                  </c:pt>
                  <c:pt idx="14">
                    <c:v>NIC (1500)</c:v>
                  </c:pt>
                  <c:pt idx="15">
                    <c:v>NIC (800)</c:v>
                  </c:pt>
                  <c:pt idx="16">
                    <c:v>NIC (400)</c:v>
                  </c:pt>
                  <c:pt idx="17">
                    <c:v>NIC (MH)</c:v>
                  </c:pt>
                  <c:pt idx="18">
                    <c:v>DH (Y)</c:v>
                  </c:pt>
                  <c:pt idx="19">
                    <c:v>NIP (HS1)</c:v>
                  </c:pt>
                  <c:pt idx="20">
                    <c:v>NIP (HS2)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6477-AF45-B091-CDF912A4707E}"/>
            </c:ext>
          </c:extLst>
        </c:ser>
        <c:ser>
          <c:idx val="10"/>
          <c:order val="11"/>
          <c:tx>
            <c:strRef>
              <c:f>Starts!$A$1</c:f>
              <c:strCache>
                <c:ptCount val="1"/>
                <c:pt idx="0">
                  <c:v>200m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Starts!$D$3:$D$10</c:f>
              <c:numCache>
                <c:formatCode>0.00</c:formatCode>
                <c:ptCount val="8"/>
                <c:pt idx="0">
                  <c:v>-4.7748978698755303E-15</c:v>
                </c:pt>
                <c:pt idx="1">
                  <c:v>-3.8080583124796639</c:v>
                </c:pt>
                <c:pt idx="2">
                  <c:v>-7.5856237922469374</c:v>
                </c:pt>
                <c:pt idx="3">
                  <c:v>-11.307711864332953</c:v>
                </c:pt>
                <c:pt idx="4">
                  <c:v>-14.955434209628235</c:v>
                </c:pt>
                <c:pt idx="5">
                  <c:v>-18.514837313612375</c:v>
                </c:pt>
                <c:pt idx="6">
                  <c:v>-21.975938739861952</c:v>
                </c:pt>
                <c:pt idx="7">
                  <c:v>-25.33193310499458</c:v>
                </c:pt>
              </c:numCache>
            </c:numRef>
          </c:xVal>
          <c:yVal>
            <c:numRef>
              <c:f>Starts!$E$3:$E$10</c:f>
              <c:numCache>
                <c:formatCode>0.00</c:formatCode>
                <c:ptCount val="8"/>
                <c:pt idx="0">
                  <c:v>38.99</c:v>
                </c:pt>
                <c:pt idx="1">
                  <c:v>40.029274186384576</c:v>
                </c:pt>
                <c:pt idx="2">
                  <c:v>40.729635545662539</c:v>
                </c:pt>
                <c:pt idx="3">
                  <c:v>41.123693321408084</c:v>
                </c:pt>
                <c:pt idx="4">
                  <c:v>41.242113035118379</c:v>
                </c:pt>
                <c:pt idx="5">
                  <c:v>41.113366430523136</c:v>
                </c:pt>
                <c:pt idx="6">
                  <c:v>40.763638410988712</c:v>
                </c:pt>
                <c:pt idx="7">
                  <c:v>40.216838080138508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6477-AF45-B091-CDF912A4707E}"/>
            </c:ext>
          </c:extLst>
        </c:ser>
        <c:ser>
          <c:idx val="11"/>
          <c:order val="12"/>
          <c:tx>
            <c:strRef>
              <c:f>Starts!$F$1</c:f>
              <c:strCache>
                <c:ptCount val="1"/>
                <c:pt idx="0">
                  <c:v>400m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Starts!$I$3:$I$10</c:f>
              <c:numCache>
                <c:formatCode>0.00</c:formatCode>
                <c:ptCount val="8"/>
                <c:pt idx="0">
                  <c:v>76.890000000000015</c:v>
                </c:pt>
                <c:pt idx="1">
                  <c:v>84.471885615915909</c:v>
                </c:pt>
                <c:pt idx="2">
                  <c:v>91.804781194531714</c:v>
                </c:pt>
                <c:pt idx="3">
                  <c:v>98.69609026380661</c:v>
                </c:pt>
                <c:pt idx="4">
                  <c:v>105.00915697117684</c:v>
                </c:pt>
                <c:pt idx="5">
                  <c:v>110.65390733537667</c:v>
                </c:pt>
                <c:pt idx="6">
                  <c:v>115.57793869720453</c:v>
                </c:pt>
                <c:pt idx="7">
                  <c:v>119.75851470399607</c:v>
                </c:pt>
              </c:numCache>
            </c:numRef>
          </c:xVal>
          <c:yVal>
            <c:numRef>
              <c:f>Starts!$J$3:$J$10</c:f>
              <c:numCache>
                <c:formatCode>0.00</c:formatCode>
                <c:ptCount val="8"/>
                <c:pt idx="0">
                  <c:v>-38.99</c:v>
                </c:pt>
                <c:pt idx="1">
                  <c:v>-39.488721307572973</c:v>
                </c:pt>
                <c:pt idx="2">
                  <c:v>-38.652221177045483</c:v>
                </c:pt>
                <c:pt idx="3">
                  <c:v>-36.654016524887396</c:v>
                </c:pt>
                <c:pt idx="4">
                  <c:v>-33.673281860108567</c:v>
                </c:pt>
                <c:pt idx="5">
                  <c:v>-29.884890186314838</c:v>
                </c:pt>
                <c:pt idx="6">
                  <c:v>-25.453084279932426</c:v>
                </c:pt>
                <c:pt idx="7">
                  <c:v>-20.527818858156163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6477-AF45-B091-CDF912A4707E}"/>
            </c:ext>
          </c:extLst>
        </c:ser>
        <c:ser>
          <c:idx val="17"/>
          <c:order val="13"/>
          <c:tx>
            <c:strRef>
              <c:f>Starts!$K$1</c:f>
              <c:strCache>
                <c:ptCount val="1"/>
                <c:pt idx="0">
                  <c:v>800m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xVal>
            <c:numRef>
              <c:f>Starts!$N$3:$N$19</c:f>
              <c:numCache>
                <c:formatCode>0.00</c:formatCode>
                <c:ptCount val="17"/>
                <c:pt idx="0">
                  <c:v>76.890000000000015</c:v>
                </c:pt>
                <c:pt idx="1">
                  <c:v>80.698058312479688</c:v>
                </c:pt>
                <c:pt idx="2">
                  <c:v>84.485407295508381</c:v>
                </c:pt>
                <c:pt idx="3">
                  <c:v>88.216904887867315</c:v>
                </c:pt>
                <c:pt idx="4">
                  <c:v>91.938978820096153</c:v>
                </c:pt>
                <c:pt idx="5">
                  <c:v>95.595271445875511</c:v>
                </c:pt>
                <c:pt idx="6">
                  <c:v>99.145880032316171</c:v>
                </c:pt>
                <c:pt idx="7">
                  <c:v>102.58321406925162</c:v>
                </c:pt>
                <c:pt idx="8" formatCode="General">
                  <c:v>76.89</c:v>
                </c:pt>
                <c:pt idx="9" formatCode="General">
                  <c:v>76.89</c:v>
                </c:pt>
                <c:pt idx="10" formatCode="General">
                  <c:v>76.88</c:v>
                </c:pt>
                <c:pt idx="11" formatCode="General">
                  <c:v>76.87</c:v>
                </c:pt>
                <c:pt idx="12" formatCode="General">
                  <c:v>76.790000000000006</c:v>
                </c:pt>
                <c:pt idx="13" formatCode="General">
                  <c:v>76.680000000000007</c:v>
                </c:pt>
                <c:pt idx="14" formatCode="General">
                  <c:v>76.570000000000007</c:v>
                </c:pt>
                <c:pt idx="15" formatCode="General">
                  <c:v>76.459999999999994</c:v>
                </c:pt>
                <c:pt idx="16" formatCode="General">
                  <c:v>76.33</c:v>
                </c:pt>
              </c:numCache>
            </c:numRef>
          </c:xVal>
          <c:yVal>
            <c:numRef>
              <c:f>Starts!$O$3:$O$19</c:f>
              <c:numCache>
                <c:formatCode>0.00</c:formatCode>
                <c:ptCount val="17"/>
                <c:pt idx="0">
                  <c:v>-38.99</c:v>
                </c:pt>
                <c:pt idx="1">
                  <c:v>-40.029274186384576</c:v>
                </c:pt>
                <c:pt idx="2">
                  <c:v>-40.727812217394366</c:v>
                </c:pt>
                <c:pt idx="3">
                  <c:v>-41.118411030354849</c:v>
                </c:pt>
                <c:pt idx="4">
                  <c:v>-41.208071253970353</c:v>
                </c:pt>
                <c:pt idx="5">
                  <c:v>-41.027075451902661</c:v>
                </c:pt>
                <c:pt idx="6">
                  <c:v>-40.611475028459019</c:v>
                </c:pt>
                <c:pt idx="7">
                  <c:v>-39.986993520288692</c:v>
                </c:pt>
                <c:pt idx="8" formatCode="General">
                  <c:v>38.99</c:v>
                </c:pt>
                <c:pt idx="9" formatCode="General">
                  <c:v>40.21</c:v>
                </c:pt>
                <c:pt idx="10" formatCode="General">
                  <c:v>41.43</c:v>
                </c:pt>
                <c:pt idx="11" formatCode="General">
                  <c:v>42.65</c:v>
                </c:pt>
                <c:pt idx="12" formatCode="General">
                  <c:v>43.87</c:v>
                </c:pt>
                <c:pt idx="13" formatCode="General">
                  <c:v>45.089999999999996</c:v>
                </c:pt>
                <c:pt idx="14" formatCode="General">
                  <c:v>46.309999999999995</c:v>
                </c:pt>
                <c:pt idx="15" formatCode="General">
                  <c:v>47.529999999999994</c:v>
                </c:pt>
                <c:pt idx="16" formatCode="General">
                  <c:v>48.749999999999993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6477-AF45-B091-CDF912A4707E}"/>
            </c:ext>
          </c:extLst>
        </c:ser>
        <c:ser>
          <c:idx val="18"/>
          <c:order val="14"/>
          <c:tx>
            <c:strRef>
              <c:f>Starts!$P$1</c:f>
              <c:strCache>
                <c:ptCount val="1"/>
                <c:pt idx="0">
                  <c:v>3000m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xVal>
            <c:numRef>
              <c:f>Starts!$S$3:$S$11</c:f>
              <c:numCache>
                <c:formatCode>0.00</c:formatCode>
                <c:ptCount val="9"/>
                <c:pt idx="0">
                  <c:v>-4.7748978698755303E-15</c:v>
                </c:pt>
                <c:pt idx="1">
                  <c:v>-0.17090853464282107</c:v>
                </c:pt>
                <c:pt idx="2">
                  <c:v>-0.52196853142739319</c:v>
                </c:pt>
                <c:pt idx="3">
                  <c:v>-1.0323031017663094</c:v>
                </c:pt>
                <c:pt idx="4">
                  <c:v>-1.6321688196206667</c:v>
                </c:pt>
                <c:pt idx="5">
                  <c:v>-2.3412882843061742</c:v>
                </c:pt>
                <c:pt idx="6">
                  <c:v>-3.1593634098799424</c:v>
                </c:pt>
                <c:pt idx="7">
                  <c:v>-4.1157164228888936</c:v>
                </c:pt>
                <c:pt idx="8">
                  <c:v>-5.239285582359118</c:v>
                </c:pt>
              </c:numCache>
            </c:numRef>
          </c:xVal>
          <c:yVal>
            <c:numRef>
              <c:f>Starts!$T$3:$T$11</c:f>
              <c:numCache>
                <c:formatCode>0.00</c:formatCode>
                <c:ptCount val="9"/>
                <c:pt idx="0">
                  <c:v>38.99</c:v>
                </c:pt>
                <c:pt idx="1">
                  <c:v>40.209636783646609</c:v>
                </c:pt>
                <c:pt idx="2">
                  <c:v>41.426711779384561</c:v>
                </c:pt>
                <c:pt idx="3">
                  <c:v>42.637505207341619</c:v>
                </c:pt>
                <c:pt idx="4">
                  <c:v>43.839627335827771</c:v>
                </c:pt>
                <c:pt idx="5">
                  <c:v>45.029173534163057</c:v>
                </c:pt>
                <c:pt idx="6">
                  <c:v>46.20210517762488</c:v>
                </c:pt>
                <c:pt idx="7">
                  <c:v>47.351470709222561</c:v>
                </c:pt>
                <c:pt idx="8">
                  <c:v>48.467642676186379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6477-AF45-B091-CDF912A4707E}"/>
            </c:ext>
          </c:extLst>
        </c:ser>
        <c:ser>
          <c:idx val="16"/>
          <c:order val="15"/>
          <c:tx>
            <c:strRef>
              <c:f>Hurdles!$A$1</c:f>
              <c:strCache>
                <c:ptCount val="1"/>
                <c:pt idx="0">
                  <c:v>Hurdles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Hurdles!$F$3:$F$82</c:f>
              <c:numCache>
                <c:formatCode>0.00</c:formatCode>
                <c:ptCount val="80"/>
                <c:pt idx="0">
                  <c:v>112.45160069813464</c:v>
                </c:pt>
                <c:pt idx="1">
                  <c:v>115.67026434970229</c:v>
                </c:pt>
                <c:pt idx="2">
                  <c:v>118.01443059654743</c:v>
                </c:pt>
                <c:pt idx="3">
                  <c:v>119.53447279877051</c:v>
                </c:pt>
                <c:pt idx="4">
                  <c:v>120.29257407398225</c:v>
                </c:pt>
                <c:pt idx="5">
                  <c:v>120.35708960898624</c:v>
                </c:pt>
                <c:pt idx="6">
                  <c:v>119.79848683553425</c:v>
                </c:pt>
                <c:pt idx="7">
                  <c:v>118.68651032493372</c:v>
                </c:pt>
                <c:pt idx="8">
                  <c:v>111.64106706192882</c:v>
                </c:pt>
                <c:pt idx="9">
                  <c:v>110.10637504775183</c:v>
                </c:pt>
                <c:pt idx="10">
                  <c:v>108.05782410739477</c:v>
                </c:pt>
                <c:pt idx="11">
                  <c:v>105.58082415722299</c:v>
                </c:pt>
                <c:pt idx="12">
                  <c:v>102.75213646530401</c:v>
                </c:pt>
                <c:pt idx="13">
                  <c:v>99.639810746204745</c:v>
                </c:pt>
                <c:pt idx="14">
                  <c:v>96.303514230980596</c:v>
                </c:pt>
                <c:pt idx="15">
                  <c:v>92.795088300396159</c:v>
                </c:pt>
                <c:pt idx="16">
                  <c:v>84.904877087117455</c:v>
                </c:pt>
                <c:pt idx="17">
                  <c:v>81.141936464815245</c:v>
                </c:pt>
                <c:pt idx="18">
                  <c:v>77.336183184677466</c:v>
                </c:pt>
                <c:pt idx="19">
                  <c:v>73.505602727889539</c:v>
                </c:pt>
                <c:pt idx="20">
                  <c:v>69.672859690509995</c:v>
                </c:pt>
                <c:pt idx="21">
                  <c:v>65.840116653130451</c:v>
                </c:pt>
                <c:pt idx="22">
                  <c:v>62.0073736157509</c:v>
                </c:pt>
                <c:pt idx="23">
                  <c:v>58.174630578371357</c:v>
                </c:pt>
                <c:pt idx="24">
                  <c:v>50.00225402354598</c:v>
                </c:pt>
                <c:pt idx="25">
                  <c:v>46.169510986166436</c:v>
                </c:pt>
                <c:pt idx="26">
                  <c:v>42.336767948786893</c:v>
                </c:pt>
                <c:pt idx="27">
                  <c:v>38.504024911407349</c:v>
                </c:pt>
                <c:pt idx="28">
                  <c:v>34.671281874027805</c:v>
                </c:pt>
                <c:pt idx="29">
                  <c:v>30.838538836648262</c:v>
                </c:pt>
                <c:pt idx="30">
                  <c:v>27.005795799268721</c:v>
                </c:pt>
                <c:pt idx="31">
                  <c:v>23.173052761889174</c:v>
                </c:pt>
                <c:pt idx="32">
                  <c:v>15.000676207063799</c:v>
                </c:pt>
                <c:pt idx="33">
                  <c:v>11.167933169684254</c:v>
                </c:pt>
                <c:pt idx="34">
                  <c:v>7.3351901323047128</c:v>
                </c:pt>
                <c:pt idx="35">
                  <c:v>3.5024470949251687</c:v>
                </c:pt>
                <c:pt idx="36">
                  <c:v>-0.32879390377910445</c:v>
                </c:pt>
                <c:pt idx="37">
                  <c:v>-4.1388210107597319</c:v>
                </c:pt>
                <c:pt idx="38">
                  <c:v>-7.9222404959151698</c:v>
                </c:pt>
                <c:pt idx="39">
                  <c:v>-11.658761881032641</c:v>
                </c:pt>
                <c:pt idx="40">
                  <c:v>-19.046187106651736</c:v>
                </c:pt>
                <c:pt idx="41">
                  <c:v>-22.36445050630012</c:v>
                </c:pt>
                <c:pt idx="42">
                  <c:v>-25.5510039081421</c:v>
                </c:pt>
                <c:pt idx="43">
                  <c:v>-28.60377662441444</c:v>
                </c:pt>
                <c:pt idx="44">
                  <c:v>-31.522986898456178</c:v>
                </c:pt>
                <c:pt idx="45">
                  <c:v>-34.310530251320579</c:v>
                </c:pt>
                <c:pt idx="46">
                  <c:v>-36.96950673449124</c:v>
                </c:pt>
                <c:pt idx="47">
                  <c:v>-39.503857141138973</c:v>
                </c:pt>
                <c:pt idx="48">
                  <c:v>-38.445530569292728</c:v>
                </c:pt>
                <c:pt idx="49">
                  <c:v>-39.945145112746069</c:v>
                </c:pt>
                <c:pt idx="50">
                  <c:v>-41.34132067316807</c:v>
                </c:pt>
                <c:pt idx="51">
                  <c:v>-42.642419377687176</c:v>
                </c:pt>
                <c:pt idx="52">
                  <c:v>-43.856123923102061</c:v>
                </c:pt>
                <c:pt idx="53">
                  <c:v>-44.989472286508523</c:v>
                </c:pt>
                <c:pt idx="54">
                  <c:v>-46.048898999844305</c:v>
                </c:pt>
                <c:pt idx="55">
                  <c:v>-47.04027925063054</c:v>
                </c:pt>
                <c:pt idx="56">
                  <c:v>-29.163003299198994</c:v>
                </c:pt>
                <c:pt idx="57">
                  <c:v>-29.38495031138708</c:v>
                </c:pt>
                <c:pt idx="58">
                  <c:v>-29.588683385662058</c:v>
                </c:pt>
                <c:pt idx="59">
                  <c:v>-29.776125558281276</c:v>
                </c:pt>
                <c:pt idx="60">
                  <c:v>-29.948955401614509</c:v>
                </c:pt>
                <c:pt idx="61">
                  <c:v>-30.108642917705101</c:v>
                </c:pt>
                <c:pt idx="62">
                  <c:v>-30.256479519418686</c:v>
                </c:pt>
                <c:pt idx="63">
                  <c:v>-30.393603167924773</c:v>
                </c:pt>
                <c:pt idx="64">
                  <c:v>1.8866189646810057</c:v>
                </c:pt>
                <c:pt idx="65">
                  <c:v>1.8866189646810057</c:v>
                </c:pt>
                <c:pt idx="66">
                  <c:v>1.8866189646810057</c:v>
                </c:pt>
                <c:pt idx="67">
                  <c:v>1.8866189646810057</c:v>
                </c:pt>
                <c:pt idx="68">
                  <c:v>1.8866189646810057</c:v>
                </c:pt>
                <c:pt idx="69">
                  <c:v>1.8866189646810057</c:v>
                </c:pt>
                <c:pt idx="70">
                  <c:v>1.8866189646810057</c:v>
                </c:pt>
                <c:pt idx="71">
                  <c:v>1.8866189646810057</c:v>
                </c:pt>
                <c:pt idx="72">
                  <c:v>36.888196781163202</c:v>
                </c:pt>
                <c:pt idx="73">
                  <c:v>36.888196781163202</c:v>
                </c:pt>
                <c:pt idx="74">
                  <c:v>36.888196781163202</c:v>
                </c:pt>
                <c:pt idx="75">
                  <c:v>36.888196781163202</c:v>
                </c:pt>
                <c:pt idx="76">
                  <c:v>36.888196781163202</c:v>
                </c:pt>
                <c:pt idx="77">
                  <c:v>36.888196781163202</c:v>
                </c:pt>
                <c:pt idx="78">
                  <c:v>36.888196781163202</c:v>
                </c:pt>
                <c:pt idx="79">
                  <c:v>36.888196781163202</c:v>
                </c:pt>
              </c:numCache>
            </c:numRef>
          </c:xVal>
          <c:yVal>
            <c:numRef>
              <c:f>Hurdles!$G$3:$G$82</c:f>
              <c:numCache>
                <c:formatCode>0.00</c:formatCode>
                <c:ptCount val="80"/>
                <c:pt idx="0">
                  <c:v>-15.987265425532607</c:v>
                </c:pt>
                <c:pt idx="1">
                  <c:v>-10.627097297343671</c:v>
                </c:pt>
                <c:pt idx="2">
                  <c:v>-5.0225599159944521</c:v>
                </c:pt>
                <c:pt idx="3">
                  <c:v>0.68661467718237112</c:v>
                </c:pt>
                <c:pt idx="4">
                  <c:v>6.386976103954316</c:v>
                </c:pt>
                <c:pt idx="5">
                  <c:v>11.98833687065725</c:v>
                </c:pt>
                <c:pt idx="6">
                  <c:v>17.420615875587853</c:v>
                </c:pt>
                <c:pt idx="7">
                  <c:v>22.630789306997389</c:v>
                </c:pt>
                <c:pt idx="8">
                  <c:v>17.680029356800436</c:v>
                </c:pt>
                <c:pt idx="9">
                  <c:v>22.660903086309023</c:v>
                </c:pt>
                <c:pt idx="10">
                  <c:v>27.294901362901133</c:v>
                </c:pt>
                <c:pt idx="11">
                  <c:v>31.557235448931664</c:v>
                </c:pt>
                <c:pt idx="12">
                  <c:v>35.43623565575205</c:v>
                </c:pt>
                <c:pt idx="13">
                  <c:v>38.93011958640593</c:v>
                </c:pt>
                <c:pt idx="14">
                  <c:v>42.044399926785893</c:v>
                </c:pt>
                <c:pt idx="15">
                  <c:v>44.789832173793648</c:v>
                </c:pt>
                <c:pt idx="16">
                  <c:v>38.157330164444154</c:v>
                </c:pt>
                <c:pt idx="17">
                  <c:v>39.984561224292243</c:v>
                </c:pt>
                <c:pt idx="18">
                  <c:v>41.42759733035107</c:v>
                </c:pt>
                <c:pt idx="19">
                  <c:v>42.65</c:v>
                </c:pt>
                <c:pt idx="20">
                  <c:v>43.87</c:v>
                </c:pt>
                <c:pt idx="21">
                  <c:v>45.089999999999996</c:v>
                </c:pt>
                <c:pt idx="22">
                  <c:v>46.309999999999995</c:v>
                </c:pt>
                <c:pt idx="23">
                  <c:v>47.529999999999994</c:v>
                </c:pt>
                <c:pt idx="24">
                  <c:v>38.99</c:v>
                </c:pt>
                <c:pt idx="25">
                  <c:v>40.21</c:v>
                </c:pt>
                <c:pt idx="26">
                  <c:v>41.43</c:v>
                </c:pt>
                <c:pt idx="27">
                  <c:v>42.65</c:v>
                </c:pt>
                <c:pt idx="28">
                  <c:v>43.87</c:v>
                </c:pt>
                <c:pt idx="29">
                  <c:v>45.089999999999996</c:v>
                </c:pt>
                <c:pt idx="30">
                  <c:v>46.309999999999995</c:v>
                </c:pt>
                <c:pt idx="31">
                  <c:v>47.529999999999994</c:v>
                </c:pt>
                <c:pt idx="32">
                  <c:v>38.99</c:v>
                </c:pt>
                <c:pt idx="33">
                  <c:v>40.21</c:v>
                </c:pt>
                <c:pt idx="34">
                  <c:v>41.43</c:v>
                </c:pt>
                <c:pt idx="35">
                  <c:v>42.65</c:v>
                </c:pt>
                <c:pt idx="36">
                  <c:v>43.868767871560259</c:v>
                </c:pt>
                <c:pt idx="37">
                  <c:v>44.899646553629943</c:v>
                </c:pt>
                <c:pt idx="38">
                  <c:v>45.627340548457141</c:v>
                </c:pt>
                <c:pt idx="39">
                  <c:v>46.077914139003511</c:v>
                </c:pt>
                <c:pt idx="40">
                  <c:v>34.021505797045691</c:v>
                </c:pt>
                <c:pt idx="41">
                  <c:v>33.416694234338202</c:v>
                </c:pt>
                <c:pt idx="42">
                  <c:v>32.612744430453979</c:v>
                </c:pt>
                <c:pt idx="43">
                  <c:v>31.636157523008414</c:v>
                </c:pt>
                <c:pt idx="44">
                  <c:v>30.51029657344812</c:v>
                </c:pt>
                <c:pt idx="45">
                  <c:v>29.255693700085377</c:v>
                </c:pt>
                <c:pt idx="46">
                  <c:v>27.890350872809151</c:v>
                </c:pt>
                <c:pt idx="47">
                  <c:v>26.430024044114734</c:v>
                </c:pt>
                <c:pt idx="48">
                  <c:v>6.4931717400341897</c:v>
                </c:pt>
                <c:pt idx="49">
                  <c:v>4.6075461931117792</c:v>
                </c:pt>
                <c:pt idx="50">
                  <c:v>2.7092628145468716</c:v>
                </c:pt>
                <c:pt idx="51">
                  <c:v>0.80409552756439973</c:v>
                </c:pt>
                <c:pt idx="52">
                  <c:v>-1.1033106731625659</c:v>
                </c:pt>
                <c:pt idx="53">
                  <c:v>-3.0092330221305645</c:v>
                </c:pt>
                <c:pt idx="54">
                  <c:v>-4.9107026892429104</c:v>
                </c:pt>
                <c:pt idx="55">
                  <c:v>-6.8053675890944527</c:v>
                </c:pt>
                <c:pt idx="56">
                  <c:v>-25.879322606492405</c:v>
                </c:pt>
                <c:pt idx="57">
                  <c:v>-27.447564467495329</c:v>
                </c:pt>
                <c:pt idx="58">
                  <c:v>-28.999219222300557</c:v>
                </c:pt>
                <c:pt idx="59">
                  <c:v>-30.535304922948917</c:v>
                </c:pt>
                <c:pt idx="60">
                  <c:v>-32.056777292050192</c:v>
                </c:pt>
                <c:pt idx="61">
                  <c:v>-33.564530708087162</c:v>
                </c:pt>
                <c:pt idx="62">
                  <c:v>-35.059400267132311</c:v>
                </c:pt>
                <c:pt idx="63">
                  <c:v>-36.542164501719277</c:v>
                </c:pt>
                <c:pt idx="64">
                  <c:v>-38.99</c:v>
                </c:pt>
                <c:pt idx="65">
                  <c:v>-40.21</c:v>
                </c:pt>
                <c:pt idx="66">
                  <c:v>-41.43</c:v>
                </c:pt>
                <c:pt idx="67">
                  <c:v>-42.65</c:v>
                </c:pt>
                <c:pt idx="68">
                  <c:v>-43.87</c:v>
                </c:pt>
                <c:pt idx="69">
                  <c:v>-45.089999999999996</c:v>
                </c:pt>
                <c:pt idx="70">
                  <c:v>-46.309999999999995</c:v>
                </c:pt>
                <c:pt idx="71">
                  <c:v>-47.529999999999994</c:v>
                </c:pt>
                <c:pt idx="72">
                  <c:v>-38.99</c:v>
                </c:pt>
                <c:pt idx="73">
                  <c:v>-40.21</c:v>
                </c:pt>
                <c:pt idx="74">
                  <c:v>-41.43</c:v>
                </c:pt>
                <c:pt idx="75">
                  <c:v>-42.65</c:v>
                </c:pt>
                <c:pt idx="76">
                  <c:v>-43.87</c:v>
                </c:pt>
                <c:pt idx="77">
                  <c:v>-45.089999999999996</c:v>
                </c:pt>
                <c:pt idx="78">
                  <c:v>-46.309999999999995</c:v>
                </c:pt>
                <c:pt idx="79">
                  <c:v>-47.529999999999994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6477-AF45-B091-CDF912A4707E}"/>
            </c:ext>
          </c:extLst>
        </c:ser>
        <c:ser>
          <c:idx val="13"/>
          <c:order val="16"/>
          <c:tx>
            <c:strRef>
              <c:f>Relays!$A$1</c:f>
              <c:strCache>
                <c:ptCount val="1"/>
                <c:pt idx="0">
                  <c:v>Change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Relays!$D$3:$D$26</c:f>
              <c:numCache>
                <c:formatCode>0.00</c:formatCode>
                <c:ptCount val="24"/>
                <c:pt idx="0">
                  <c:v>111.6406603040468</c:v>
                </c:pt>
                <c:pt idx="1">
                  <c:v>110.10586943978981</c:v>
                </c:pt>
                <c:pt idx="2">
                  <c:v>108.0572329557146</c:v>
                </c:pt>
                <c:pt idx="3">
                  <c:v>105.58016015318935</c:v>
                </c:pt>
                <c:pt idx="4">
                  <c:v>102.75141148499223</c:v>
                </c:pt>
                <c:pt idx="5">
                  <c:v>99.63903574142131</c:v>
                </c:pt>
                <c:pt idx="6">
                  <c:v>96.302699184826693</c:v>
                </c:pt>
                <c:pt idx="7">
                  <c:v>92.794242227277053</c:v>
                </c:pt>
                <c:pt idx="8">
                  <c:v>98.576239608110257</c:v>
                </c:pt>
                <c:pt idx="9">
                  <c:v>95.356535099252511</c:v>
                </c:pt>
                <c:pt idx="10">
                  <c:v>91.914326843467833</c:v>
                </c:pt>
                <c:pt idx="11">
                  <c:v>88.310962735096851</c:v>
                </c:pt>
                <c:pt idx="12">
                  <c:v>84.597992517387055</c:v>
                </c:pt>
                <c:pt idx="13">
                  <c:v>80.818359557017502</c:v>
                </c:pt>
                <c:pt idx="14">
                  <c:v>77.007542064603385</c:v>
                </c:pt>
                <c:pt idx="15">
                  <c:v>73.175306785435168</c:v>
                </c:pt>
                <c:pt idx="16">
                  <c:v>89.695421452194694</c:v>
                </c:pt>
                <c:pt idx="17">
                  <c:v>86.044831287051025</c:v>
                </c:pt>
                <c:pt idx="18">
                  <c:v>82.297372284254024</c:v>
                </c:pt>
                <c:pt idx="19">
                  <c:v>78.498353596358044</c:v>
                </c:pt>
                <c:pt idx="20">
                  <c:v>74.6735358975738</c:v>
                </c:pt>
                <c:pt idx="21">
                  <c:v>70.840792860194256</c:v>
                </c:pt>
                <c:pt idx="22">
                  <c:v>67.008049822814712</c:v>
                </c:pt>
                <c:pt idx="23">
                  <c:v>63.175306785435161</c:v>
                </c:pt>
              </c:numCache>
            </c:numRef>
          </c:xVal>
          <c:yVal>
            <c:numRef>
              <c:f>Relays!$E$3:$E$26</c:f>
              <c:numCache>
                <c:formatCode>0.00</c:formatCode>
                <c:ptCount val="24"/>
                <c:pt idx="0">
                  <c:v>17.680828838964135</c:v>
                </c:pt>
                <c:pt idx="1">
                  <c:v>22.661644189220642</c:v>
                </c:pt>
                <c:pt idx="2">
                  <c:v>27.295576379410232</c:v>
                </c:pt>
                <c:pt idx="3">
                  <c:v>31.557839127296809</c:v>
                </c:pt>
                <c:pt idx="4">
                  <c:v>35.436764750805224</c:v>
                </c:pt>
                <c:pt idx="5">
                  <c:v>38.930572469917976</c:v>
                </c:pt>
                <c:pt idx="6">
                  <c:v>42.044776255314147</c:v>
                </c:pt>
                <c:pt idx="7">
                  <c:v>44.790132609494435</c:v>
                </c:pt>
                <c:pt idx="8">
                  <c:v>32.402578781011094</c:v>
                </c:pt>
                <c:pt idx="9">
                  <c:v>35.718779114466876</c:v>
                </c:pt>
                <c:pt idx="10">
                  <c:v>38.609772116663052</c:v>
                </c:pt>
                <c:pt idx="11">
                  <c:v>41.092385063458273</c:v>
                </c:pt>
                <c:pt idx="12">
                  <c:v>43.18754162199911</c:v>
                </c:pt>
                <c:pt idx="13">
                  <c:v>44.918549522338637</c:v>
                </c:pt>
                <c:pt idx="14">
                  <c:v>46.309850829635032</c:v>
                </c:pt>
                <c:pt idx="15">
                  <c:v>47.529999999999994</c:v>
                </c:pt>
                <c:pt idx="16">
                  <c:v>36.827181285453712</c:v>
                </c:pt>
                <c:pt idx="17">
                  <c:v>39.153967412072454</c:v>
                </c:pt>
                <c:pt idx="18">
                  <c:v>41.075603768897679</c:v>
                </c:pt>
                <c:pt idx="19">
                  <c:v>42.619663287138742</c:v>
                </c:pt>
                <c:pt idx="20">
                  <c:v>43.87</c:v>
                </c:pt>
                <c:pt idx="21">
                  <c:v>45.089999999999996</c:v>
                </c:pt>
                <c:pt idx="22">
                  <c:v>46.309999999999995</c:v>
                </c:pt>
                <c:pt idx="23">
                  <c:v>47.529999999999994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6477-AF45-B091-CDF912A4707E}"/>
            </c:ext>
          </c:extLst>
        </c:ser>
        <c:ser>
          <c:idx val="14"/>
          <c:order val="17"/>
          <c:tx>
            <c:strRef>
              <c:f>Relays!$F$1</c:f>
              <c:strCache>
                <c:ptCount val="1"/>
                <c:pt idx="0">
                  <c:v>Change 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Relays!$I$3:$I$26</c:f>
              <c:numCache>
                <c:formatCode>0.00</c:formatCode>
                <c:ptCount val="24"/>
                <c:pt idx="0">
                  <c:v>19.999999999999993</c:v>
                </c:pt>
                <c:pt idx="1">
                  <c:v>16.167256962620453</c:v>
                </c:pt>
                <c:pt idx="2">
                  <c:v>12.334513925240909</c:v>
                </c:pt>
                <c:pt idx="3">
                  <c:v>8.5017708878613636</c:v>
                </c:pt>
                <c:pt idx="4">
                  <c:v>4.6690278504818199</c:v>
                </c:pt>
                <c:pt idx="5">
                  <c:v>0.83628481310227598</c:v>
                </c:pt>
                <c:pt idx="6">
                  <c:v>-2.9815094336137671</c:v>
                </c:pt>
                <c:pt idx="7">
                  <c:v>-6.7774056110842142</c:v>
                </c:pt>
                <c:pt idx="8">
                  <c:v>-4.7748978698755303E-15</c:v>
                </c:pt>
                <c:pt idx="9">
                  <c:v>-3.8080583124796639</c:v>
                </c:pt>
                <c:pt idx="10">
                  <c:v>-7.5856237922469374</c:v>
                </c:pt>
                <c:pt idx="11">
                  <c:v>-11.307711864332953</c:v>
                </c:pt>
                <c:pt idx="12">
                  <c:v>-14.955434209628235</c:v>
                </c:pt>
                <c:pt idx="13">
                  <c:v>-18.514837313612375</c:v>
                </c:pt>
                <c:pt idx="14">
                  <c:v>-21.975938739861952</c:v>
                </c:pt>
                <c:pt idx="15">
                  <c:v>-25.33193310499458</c:v>
                </c:pt>
                <c:pt idx="16">
                  <c:v>-9.8413541938670139</c:v>
                </c:pt>
                <c:pt idx="17">
                  <c:v>-13.497044173269423</c:v>
                </c:pt>
                <c:pt idx="18">
                  <c:v>-17.057727163863781</c:v>
                </c:pt>
                <c:pt idx="19">
                  <c:v>-20.511433971699137</c:v>
                </c:pt>
                <c:pt idx="20">
                  <c:v>-23.85028117218069</c:v>
                </c:pt>
                <c:pt idx="21">
                  <c:v>-27.069568388811131</c:v>
                </c:pt>
                <c:pt idx="22">
                  <c:v>-30.167055223882393</c:v>
                </c:pt>
                <c:pt idx="23">
                  <c:v>-33.142384580201252</c:v>
                </c:pt>
              </c:numCache>
            </c:numRef>
          </c:xVal>
          <c:yVal>
            <c:numRef>
              <c:f>Relays!$J$3:$J$26</c:f>
              <c:numCache>
                <c:formatCode>0.00</c:formatCode>
                <c:ptCount val="24"/>
                <c:pt idx="0">
                  <c:v>38.99</c:v>
                </c:pt>
                <c:pt idx="1">
                  <c:v>40.21</c:v>
                </c:pt>
                <c:pt idx="2">
                  <c:v>41.43</c:v>
                </c:pt>
                <c:pt idx="3">
                  <c:v>42.65</c:v>
                </c:pt>
                <c:pt idx="4">
                  <c:v>43.87</c:v>
                </c:pt>
                <c:pt idx="5">
                  <c:v>45.089999999999996</c:v>
                </c:pt>
                <c:pt idx="6">
                  <c:v>46.213923242863416</c:v>
                </c:pt>
                <c:pt idx="7">
                  <c:v>47.044316056064027</c:v>
                </c:pt>
                <c:pt idx="8">
                  <c:v>38.99</c:v>
                </c:pt>
                <c:pt idx="9">
                  <c:v>40.029274186384576</c:v>
                </c:pt>
                <c:pt idx="10">
                  <c:v>40.729635545662539</c:v>
                </c:pt>
                <c:pt idx="11">
                  <c:v>41.123693321408084</c:v>
                </c:pt>
                <c:pt idx="12">
                  <c:v>41.242113035118379</c:v>
                </c:pt>
                <c:pt idx="13">
                  <c:v>41.113366430523136</c:v>
                </c:pt>
                <c:pt idx="14">
                  <c:v>40.763638410988712</c:v>
                </c:pt>
                <c:pt idx="15">
                  <c:v>40.216838080138508</c:v>
                </c:pt>
                <c:pt idx="16">
                  <c:v>37.727547596297008</c:v>
                </c:pt>
                <c:pt idx="17">
                  <c:v>37.877089362632049</c:v>
                </c:pt>
                <c:pt idx="18">
                  <c:v>37.755514087391042</c:v>
                </c:pt>
                <c:pt idx="19">
                  <c:v>37.393897582688894</c:v>
                </c:pt>
                <c:pt idx="20">
                  <c:v>36.820388210988803</c:v>
                </c:pt>
                <c:pt idx="21">
                  <c:v>36.060318457321983</c:v>
                </c:pt>
                <c:pt idx="22">
                  <c:v>35.136375440833817</c:v>
                </c:pt>
                <c:pt idx="23">
                  <c:v>34.068801627560042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6477-AF45-B091-CDF912A4707E}"/>
            </c:ext>
          </c:extLst>
        </c:ser>
        <c:ser>
          <c:idx val="15"/>
          <c:order val="18"/>
          <c:tx>
            <c:strRef>
              <c:f>Relays!$K$1</c:f>
              <c:strCache>
                <c:ptCount val="1"/>
                <c:pt idx="0">
                  <c:v>Change 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Relays!$N$3:$N$26</c:f>
              <c:numCache>
                <c:formatCode>0.00</c:formatCode>
                <c:ptCount val="24"/>
                <c:pt idx="0">
                  <c:v>-34.750660304046811</c:v>
                </c:pt>
                <c:pt idx="1">
                  <c:v>-35.212733341798476</c:v>
                </c:pt>
                <c:pt idx="2">
                  <c:v>-35.638040377981334</c:v>
                </c:pt>
                <c:pt idx="3">
                  <c:v>-36.030300103031337</c:v>
                </c:pt>
                <c:pt idx="4">
                  <c:v>-36.392784580453586</c:v>
                </c:pt>
                <c:pt idx="5">
                  <c:v>-36.728380088366578</c:v>
                </c:pt>
                <c:pt idx="6">
                  <c:v>-37.039638900227978</c:v>
                </c:pt>
                <c:pt idx="7">
                  <c:v>-37.32882342666214</c:v>
                </c:pt>
                <c:pt idx="8">
                  <c:v>-21.686239608110263</c:v>
                </c:pt>
                <c:pt idx="9">
                  <c:v>-21.766256913179433</c:v>
                </c:pt>
                <c:pt idx="10">
                  <c:v>-21.839598422272562</c:v>
                </c:pt>
                <c:pt idx="11">
                  <c:v>-21.906987551445685</c:v>
                </c:pt>
                <c:pt idx="12">
                  <c:v>-21.969052566202699</c:v>
                </c:pt>
                <c:pt idx="13">
                  <c:v>-22.02634115564533</c:v>
                </c:pt>
                <c:pt idx="14">
                  <c:v>-22.079332479027823</c:v>
                </c:pt>
                <c:pt idx="15">
                  <c:v>-22.128447171071219</c:v>
                </c:pt>
                <c:pt idx="16">
                  <c:v>-12.805421452194713</c:v>
                </c:pt>
                <c:pt idx="17">
                  <c:v>-12.821731976860448</c:v>
                </c:pt>
                <c:pt idx="18">
                  <c:v>-12.836697553165397</c:v>
                </c:pt>
                <c:pt idx="19">
                  <c:v>-12.850464531180926</c:v>
                </c:pt>
                <c:pt idx="20">
                  <c:v>-12.863159766081568</c:v>
                </c:pt>
                <c:pt idx="21">
                  <c:v>-12.874893660407366</c:v>
                </c:pt>
                <c:pt idx="22">
                  <c:v>-12.885762666111875</c:v>
                </c:pt>
                <c:pt idx="23">
                  <c:v>-12.895851353303028</c:v>
                </c:pt>
              </c:numCache>
            </c:numRef>
          </c:xVal>
          <c:yVal>
            <c:numRef>
              <c:f>Relays!$O$3:$O$26</c:f>
              <c:numCache>
                <c:formatCode>0.00</c:formatCode>
                <c:ptCount val="24"/>
                <c:pt idx="0">
                  <c:v>-17.680828838964125</c:v>
                </c:pt>
                <c:pt idx="1">
                  <c:v>-19.414105969613793</c:v>
                </c:pt>
                <c:pt idx="2">
                  <c:v>-21.127588078561455</c:v>
                </c:pt>
                <c:pt idx="3">
                  <c:v>-22.821918729272092</c:v>
                </c:pt>
                <c:pt idx="4">
                  <c:v>-24.497798482326925</c:v>
                </c:pt>
                <c:pt idx="5">
                  <c:v>-26.1559590931871</c:v>
                </c:pt>
                <c:pt idx="6">
                  <c:v>-27.797144640065426</c:v>
                </c:pt>
                <c:pt idx="7">
                  <c:v>-29.422097844665654</c:v>
                </c:pt>
                <c:pt idx="8">
                  <c:v>-32.402578781011087</c:v>
                </c:pt>
                <c:pt idx="9">
                  <c:v>-33.809379763454238</c:v>
                </c:pt>
                <c:pt idx="10">
                  <c:v>-35.20620457751545</c:v>
                </c:pt>
                <c:pt idx="11">
                  <c:v>-36.59380270511393</c:v>
                </c:pt>
                <c:pt idx="12">
                  <c:v>-37.972853847761066</c:v>
                </c:pt>
                <c:pt idx="13">
                  <c:v>-39.343975336703387</c:v>
                </c:pt>
                <c:pt idx="14">
                  <c:v>-40.707728716799551</c:v>
                </c:pt>
                <c:pt idx="15">
                  <c:v>-42.064625587268807</c:v>
                </c:pt>
                <c:pt idx="16">
                  <c:v>-36.827181285453705</c:v>
                </c:pt>
                <c:pt idx="17">
                  <c:v>-38.110986462089308</c:v>
                </c:pt>
                <c:pt idx="18">
                  <c:v>-39.391167740098254</c:v>
                </c:pt>
                <c:pt idx="19">
                  <c:v>-40.668022589411216</c:v>
                </c:pt>
                <c:pt idx="20">
                  <c:v>-41.941817090253259</c:v>
                </c:pt>
                <c:pt idx="21">
                  <c:v>-43.212789926515995</c:v>
                </c:pt>
                <c:pt idx="22">
                  <c:v>-44.481155791105934</c:v>
                </c:pt>
                <c:pt idx="23">
                  <c:v>-45.747108300673084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6477-AF45-B091-CDF912A4707E}"/>
            </c:ext>
          </c:extLst>
        </c:ser>
        <c:ser>
          <c:idx val="19"/>
          <c:order val="19"/>
          <c:tx>
            <c:strRef>
              <c:f>Starts!$U$1</c:f>
              <c:strCache>
                <c:ptCount val="1"/>
                <c:pt idx="0">
                  <c:v>1500m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xVal>
            <c:numRef>
              <c:f>Starts!$X$3:$X$11</c:f>
              <c:numCache>
                <c:formatCode>0.00</c:formatCode>
                <c:ptCount val="9"/>
                <c:pt idx="0">
                  <c:v>98.576239608110257</c:v>
                </c:pt>
                <c:pt idx="1">
                  <c:v>99.109191667173604</c:v>
                </c:pt>
                <c:pt idx="2">
                  <c:v>99.503065276657281</c:v>
                </c:pt>
                <c:pt idx="3">
                  <c:v>99.752803022146409</c:v>
                </c:pt>
                <c:pt idx="4">
                  <c:v>99.914850298334116</c:v>
                </c:pt>
                <c:pt idx="5">
                  <c:v>100.01316128302297</c:v>
                </c:pt>
                <c:pt idx="6">
                  <c:v>99.960397049288389</c:v>
                </c:pt>
                <c:pt idx="7">
                  <c:v>99.76162781012097</c:v>
                </c:pt>
                <c:pt idx="8">
                  <c:v>99.377915369227267</c:v>
                </c:pt>
              </c:numCache>
            </c:numRef>
          </c:xVal>
          <c:yVal>
            <c:numRef>
              <c:f>Starts!$Y$3:$Y$11</c:f>
              <c:numCache>
                <c:formatCode>0.00</c:formatCode>
                <c:ptCount val="9"/>
                <c:pt idx="0">
                  <c:v>32.402578781011094</c:v>
                </c:pt>
                <c:pt idx="1">
                  <c:v>33.513454337883516</c:v>
                </c:pt>
                <c:pt idx="2">
                  <c:v>34.714466419543839</c:v>
                </c:pt>
                <c:pt idx="3">
                  <c:v>36.004371095334143</c:v>
                </c:pt>
                <c:pt idx="4">
                  <c:v>37.342109859236707</c:v>
                </c:pt>
                <c:pt idx="5">
                  <c:v>38.709527409661149</c:v>
                </c:pt>
                <c:pt idx="6">
                  <c:v>40.154363150076051</c:v>
                </c:pt>
                <c:pt idx="7">
                  <c:v>41.665207803577559</c:v>
                </c:pt>
                <c:pt idx="8">
                  <c:v>43.253394807187931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6477-AF45-B091-CDF912A4707E}"/>
            </c:ext>
          </c:extLst>
        </c:ser>
        <c:ser>
          <c:idx val="20"/>
          <c:order val="20"/>
          <c:tx>
            <c:strRef>
              <c:f>Lanes!$AX$1</c:f>
              <c:strCache>
                <c:ptCount val="1"/>
                <c:pt idx="0">
                  <c:v>Home Straight Start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Lanes!$AX$3:$AX$4</c:f>
              <c:numCache>
                <c:formatCode>General</c:formatCode>
                <c:ptCount val="2"/>
                <c:pt idx="0">
                  <c:v>-23.11</c:v>
                </c:pt>
                <c:pt idx="1">
                  <c:v>-23.11</c:v>
                </c:pt>
              </c:numCache>
            </c:numRef>
          </c:xVal>
          <c:yVal>
            <c:numRef>
              <c:f>Lanes!$AY$3:$AY$4</c:f>
              <c:numCache>
                <c:formatCode>General</c:formatCode>
                <c:ptCount val="2"/>
                <c:pt idx="0">
                  <c:v>-38.99</c:v>
                </c:pt>
                <c:pt idx="1">
                  <c:v>-48.749999999999993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0A-C746-894C-9F468CA8031D}"/>
            </c:ext>
          </c:extLst>
        </c:ser>
        <c:ser>
          <c:idx val="21"/>
          <c:order val="21"/>
          <c:tx>
            <c:strRef>
              <c:f>Lanes!$AX$5</c:f>
              <c:strCache>
                <c:ptCount val="1"/>
                <c:pt idx="0">
                  <c:v>Home Straight Lane 1</c:v>
                </c:pt>
              </c:strCache>
            </c:strRef>
          </c:tx>
          <c:spPr>
            <a:ln w="1905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0A-C746-894C-9F468CA8031D}"/>
              </c:ext>
            </c:extLst>
          </c:dPt>
          <c:xVal>
            <c:numRef>
              <c:f>Lanes!$AX$7:$AX$8</c:f>
              <c:numCache>
                <c:formatCode>General</c:formatCode>
                <c:ptCount val="2"/>
                <c:pt idx="0">
                  <c:v>-23.11</c:v>
                </c:pt>
                <c:pt idx="1">
                  <c:v>0</c:v>
                </c:pt>
              </c:numCache>
            </c:numRef>
          </c:xVal>
          <c:yVal>
            <c:numRef>
              <c:f>Lanes!$AY$7:$AY$8</c:f>
              <c:numCache>
                <c:formatCode>General</c:formatCode>
                <c:ptCount val="2"/>
                <c:pt idx="0">
                  <c:v>-38.99</c:v>
                </c:pt>
                <c:pt idx="1">
                  <c:v>-38.99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0A-C746-894C-9F468CA8031D}"/>
            </c:ext>
          </c:extLst>
        </c:ser>
        <c:ser>
          <c:idx val="22"/>
          <c:order val="22"/>
          <c:tx>
            <c:strRef>
              <c:f>Lanes!$AX$9</c:f>
              <c:strCache>
                <c:ptCount val="1"/>
                <c:pt idx="0">
                  <c:v>Home Straight Lane 2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Lanes!$AX$11:$AX$12</c:f>
              <c:numCache>
                <c:formatCode>General</c:formatCode>
                <c:ptCount val="2"/>
                <c:pt idx="0">
                  <c:v>-23.11</c:v>
                </c:pt>
                <c:pt idx="1">
                  <c:v>0</c:v>
                </c:pt>
              </c:numCache>
            </c:numRef>
          </c:xVal>
          <c:yVal>
            <c:numRef>
              <c:f>Lanes!$AY$11:$AY$12</c:f>
              <c:numCache>
                <c:formatCode>General</c:formatCode>
                <c:ptCount val="2"/>
                <c:pt idx="0">
                  <c:v>-40.21</c:v>
                </c:pt>
                <c:pt idx="1">
                  <c:v>-40.21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0A-C746-894C-9F468CA8031D}"/>
            </c:ext>
          </c:extLst>
        </c:ser>
        <c:ser>
          <c:idx val="23"/>
          <c:order val="23"/>
          <c:tx>
            <c:strRef>
              <c:f>Lanes!$AX$13</c:f>
              <c:strCache>
                <c:ptCount val="1"/>
                <c:pt idx="0">
                  <c:v>Home Straight Lane 3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Lanes!$AX$15:$AX$16</c:f>
              <c:numCache>
                <c:formatCode>General</c:formatCode>
                <c:ptCount val="2"/>
                <c:pt idx="0">
                  <c:v>-23.11</c:v>
                </c:pt>
                <c:pt idx="1">
                  <c:v>0</c:v>
                </c:pt>
              </c:numCache>
            </c:numRef>
          </c:xVal>
          <c:yVal>
            <c:numRef>
              <c:f>Lanes!$AY$15:$AY$16</c:f>
              <c:numCache>
                <c:formatCode>General</c:formatCode>
                <c:ptCount val="2"/>
                <c:pt idx="0">
                  <c:v>-41.43</c:v>
                </c:pt>
                <c:pt idx="1">
                  <c:v>-41.43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60A-C746-894C-9F468CA8031D}"/>
            </c:ext>
          </c:extLst>
        </c:ser>
        <c:ser>
          <c:idx val="24"/>
          <c:order val="24"/>
          <c:tx>
            <c:strRef>
              <c:f>Lanes!$AX$17</c:f>
              <c:strCache>
                <c:ptCount val="1"/>
                <c:pt idx="0">
                  <c:v>Home Straight Lane 4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Lanes!$AX$19:$AX$20</c:f>
              <c:numCache>
                <c:formatCode>General</c:formatCode>
                <c:ptCount val="2"/>
                <c:pt idx="0">
                  <c:v>-23.11</c:v>
                </c:pt>
                <c:pt idx="1">
                  <c:v>0</c:v>
                </c:pt>
              </c:numCache>
            </c:numRef>
          </c:xVal>
          <c:yVal>
            <c:numRef>
              <c:f>Lanes!$AY$19:$AY$20</c:f>
              <c:numCache>
                <c:formatCode>General</c:formatCode>
                <c:ptCount val="2"/>
                <c:pt idx="0">
                  <c:v>-42.65</c:v>
                </c:pt>
                <c:pt idx="1">
                  <c:v>-42.65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60A-C746-894C-9F468CA8031D}"/>
            </c:ext>
          </c:extLst>
        </c:ser>
        <c:ser>
          <c:idx val="25"/>
          <c:order val="25"/>
          <c:tx>
            <c:strRef>
              <c:f>Lanes!$AX$21</c:f>
              <c:strCache>
                <c:ptCount val="1"/>
                <c:pt idx="0">
                  <c:v>Home Straight Lane 5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Lanes!$AX$23:$AX$24</c:f>
              <c:numCache>
                <c:formatCode>General</c:formatCode>
                <c:ptCount val="2"/>
                <c:pt idx="0">
                  <c:v>-23.11</c:v>
                </c:pt>
                <c:pt idx="1">
                  <c:v>0</c:v>
                </c:pt>
              </c:numCache>
            </c:numRef>
          </c:xVal>
          <c:yVal>
            <c:numRef>
              <c:f>Lanes!$AY$23:$AY$24</c:f>
              <c:numCache>
                <c:formatCode>General</c:formatCode>
                <c:ptCount val="2"/>
                <c:pt idx="0">
                  <c:v>-43.87</c:v>
                </c:pt>
                <c:pt idx="1">
                  <c:v>-43.87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60A-C746-894C-9F468CA8031D}"/>
            </c:ext>
          </c:extLst>
        </c:ser>
        <c:ser>
          <c:idx val="26"/>
          <c:order val="26"/>
          <c:tx>
            <c:strRef>
              <c:f>Lanes!$AX$25</c:f>
              <c:strCache>
                <c:ptCount val="1"/>
                <c:pt idx="0">
                  <c:v>Home Straight Lane 6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Lanes!$AX$27:$AX$28</c:f>
              <c:numCache>
                <c:formatCode>General</c:formatCode>
                <c:ptCount val="2"/>
                <c:pt idx="0">
                  <c:v>-23.11</c:v>
                </c:pt>
                <c:pt idx="1">
                  <c:v>0</c:v>
                </c:pt>
              </c:numCache>
            </c:numRef>
          </c:xVal>
          <c:yVal>
            <c:numRef>
              <c:f>Lanes!$AY$27:$AY$28</c:f>
              <c:numCache>
                <c:formatCode>General</c:formatCode>
                <c:ptCount val="2"/>
                <c:pt idx="0">
                  <c:v>-45.089999999999996</c:v>
                </c:pt>
                <c:pt idx="1">
                  <c:v>-45.089999999999996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60A-C746-894C-9F468CA8031D}"/>
            </c:ext>
          </c:extLst>
        </c:ser>
        <c:ser>
          <c:idx val="27"/>
          <c:order val="27"/>
          <c:tx>
            <c:strRef>
              <c:f>Lanes!$AX$29</c:f>
              <c:strCache>
                <c:ptCount val="1"/>
                <c:pt idx="0">
                  <c:v>Home Straight Lane 7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Lanes!$AX$31:$AX$32</c:f>
              <c:numCache>
                <c:formatCode>General</c:formatCode>
                <c:ptCount val="2"/>
                <c:pt idx="0">
                  <c:v>-23.11</c:v>
                </c:pt>
                <c:pt idx="1">
                  <c:v>0</c:v>
                </c:pt>
              </c:numCache>
            </c:numRef>
          </c:xVal>
          <c:yVal>
            <c:numRef>
              <c:f>Lanes!$AY$31:$AY$32</c:f>
              <c:numCache>
                <c:formatCode>General</c:formatCode>
                <c:ptCount val="2"/>
                <c:pt idx="0">
                  <c:v>-46.309999999999995</c:v>
                </c:pt>
                <c:pt idx="1">
                  <c:v>-46.309999999999995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60A-C746-894C-9F468CA8031D}"/>
            </c:ext>
          </c:extLst>
        </c:ser>
        <c:ser>
          <c:idx val="28"/>
          <c:order val="28"/>
          <c:tx>
            <c:strRef>
              <c:f>Lanes!$AX$33</c:f>
              <c:strCache>
                <c:ptCount val="1"/>
                <c:pt idx="0">
                  <c:v>Home Straight Lane 8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Lanes!$AX$35:$AX$36</c:f>
              <c:numCache>
                <c:formatCode>General</c:formatCode>
                <c:ptCount val="2"/>
                <c:pt idx="0">
                  <c:v>-23.11</c:v>
                </c:pt>
                <c:pt idx="1">
                  <c:v>0</c:v>
                </c:pt>
              </c:numCache>
            </c:numRef>
          </c:xVal>
          <c:yVal>
            <c:numRef>
              <c:f>Lanes!$AY$35:$AY$36</c:f>
              <c:numCache>
                <c:formatCode>General</c:formatCode>
                <c:ptCount val="2"/>
                <c:pt idx="0">
                  <c:v>-47.529999999999994</c:v>
                </c:pt>
                <c:pt idx="1">
                  <c:v>-47.529999999999994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60A-C746-894C-9F468CA8031D}"/>
            </c:ext>
          </c:extLst>
        </c:ser>
        <c:ser>
          <c:idx val="29"/>
          <c:order val="29"/>
          <c:tx>
            <c:strRef>
              <c:f>Lanes!$AX$37</c:f>
              <c:strCache>
                <c:ptCount val="1"/>
                <c:pt idx="0">
                  <c:v>Home Straight Lane 9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Lanes!$AX$39:$AX$40</c:f>
              <c:numCache>
                <c:formatCode>General</c:formatCode>
                <c:ptCount val="2"/>
                <c:pt idx="0">
                  <c:v>-23.11</c:v>
                </c:pt>
                <c:pt idx="1">
                  <c:v>0</c:v>
                </c:pt>
              </c:numCache>
            </c:numRef>
          </c:xVal>
          <c:yVal>
            <c:numRef>
              <c:f>Lanes!$AY$39:$AY$40</c:f>
              <c:numCache>
                <c:formatCode>General</c:formatCode>
                <c:ptCount val="2"/>
                <c:pt idx="0">
                  <c:v>-48.749999999999993</c:v>
                </c:pt>
                <c:pt idx="1">
                  <c:v>-48.749999999999993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60A-C746-894C-9F468CA8031D}"/>
            </c:ext>
          </c:extLst>
        </c:ser>
        <c:ser>
          <c:idx val="30"/>
          <c:order val="30"/>
          <c:tx>
            <c:strRef>
              <c:f>Plan!$S$2</c:f>
              <c:strCache>
                <c:ptCount val="1"/>
                <c:pt idx="0">
                  <c:v>Measure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  <a:headEnd type="triangle" w="med" len="med"/>
              <a:tailEnd type="triangle"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8BFC01FB-4652-EA4E-BBA2-1DBB973B9CCB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BC8-004C-99B4-3A00BCD522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BC8-004C-99B4-3A00BCD522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effectLst>
                      <a:glow rad="139700">
                        <a:schemeClr val="accent2">
                          <a:satMod val="175000"/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Plan!$U$3:$U$4</c:f>
              <c:numCache>
                <c:formatCode>0.00</c:formatCode>
                <c:ptCount val="2"/>
                <c:pt idx="0">
                  <c:v>0</c:v>
                </c:pt>
                <c:pt idx="1">
                  <c:v>120.35708960898624</c:v>
                </c:pt>
              </c:numCache>
            </c:numRef>
          </c:xVal>
          <c:yVal>
            <c:numRef>
              <c:f>Plan!$V$3:$V$4</c:f>
              <c:numCache>
                <c:formatCode>0.00</c:formatCode>
                <c:ptCount val="2"/>
                <c:pt idx="0">
                  <c:v>-38.99</c:v>
                </c:pt>
                <c:pt idx="1">
                  <c:v>11.98833687065725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Plan!$T$5</c15:f>
                <c15:dlblRangeCache>
                  <c:ptCount val="1"/>
                  <c:pt idx="0">
                    <c:v>130.71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2BC8-004C-99B4-3A00BCD52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26431"/>
        <c:axId val="160456223"/>
      </c:scatterChart>
      <c:valAx>
        <c:axId val="130826431"/>
        <c:scaling>
          <c:orientation val="minMax"/>
          <c:max val="140"/>
          <c:min val="-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56223"/>
        <c:crossesAt val="-60"/>
        <c:crossBetween val="midCat"/>
        <c:majorUnit val="40"/>
        <c:minorUnit val="2"/>
      </c:valAx>
      <c:valAx>
        <c:axId val="160456223"/>
        <c:scaling>
          <c:orientation val="minMax"/>
          <c:max val="60"/>
          <c:min val="-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26431"/>
        <c:crossesAt val="-60"/>
        <c:crossBetween val="midCat"/>
        <c:majorUnit val="40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393700</xdr:colOff>
      <xdr:row>1</xdr:row>
      <xdr:rowOff>0</xdr:rowOff>
    </xdr:from>
    <xdr:to>
      <xdr:col>17</xdr:col>
      <xdr:colOff>393700</xdr:colOff>
      <xdr:row>43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BB6A3F-5440-8012-AA00-EB5A95844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A44E-7FC1-5C40-931C-0BEFBB267473}">
  <dimension ref="S1:V15"/>
  <sheetViews>
    <sheetView tabSelected="1" topLeftCell="B2" zoomScaleNormal="100" workbookViewId="0">
      <selection activeCell="T4" sqref="T4"/>
    </sheetView>
  </sheetViews>
  <sheetFormatPr baseColWidth="10" defaultRowHeight="16" x14ac:dyDescent="0.2"/>
  <cols>
    <col min="19" max="19" width="15.1640625" style="13" customWidth="1"/>
    <col min="20" max="20" width="19.5" style="37" customWidth="1"/>
    <col min="21" max="22" width="10.83203125" style="36" customWidth="1"/>
  </cols>
  <sheetData>
    <row r="1" spans="19:22" ht="17" thickBot="1" x14ac:dyDescent="0.25"/>
    <row r="2" spans="19:22" ht="17" thickBot="1" x14ac:dyDescent="0.25">
      <c r="S2" s="48" t="s">
        <v>77</v>
      </c>
      <c r="T2" s="49"/>
      <c r="U2" s="34" t="s">
        <v>0</v>
      </c>
      <c r="V2" s="35" t="s">
        <v>1</v>
      </c>
    </row>
    <row r="3" spans="19:22" x14ac:dyDescent="0.2">
      <c r="S3" s="38" t="s">
        <v>74</v>
      </c>
      <c r="T3" s="40" t="s">
        <v>4</v>
      </c>
      <c r="U3" s="42">
        <f>IFERROR(VLOOKUP(T3,AllPoints,2,FALSE),0)</f>
        <v>0</v>
      </c>
      <c r="V3" s="43">
        <f>IFERROR(VLOOKUP(T3,AllPoints,3,FALSE),0)</f>
        <v>-38.99</v>
      </c>
    </row>
    <row r="4" spans="19:22" ht="17" thickBot="1" x14ac:dyDescent="0.25">
      <c r="S4" s="38" t="s">
        <v>75</v>
      </c>
      <c r="T4" s="40" t="s">
        <v>81</v>
      </c>
      <c r="U4" s="44">
        <f>IFERROR(VLOOKUP(T4,AllPoints,2,FALSE),0)</f>
        <v>120.35708960898624</v>
      </c>
      <c r="V4" s="45">
        <f>IFERROR(VLOOKUP(T4,AllPoints,3,FALSE),0)</f>
        <v>11.98833687065725</v>
      </c>
    </row>
    <row r="5" spans="19:22" ht="17" thickBot="1" x14ac:dyDescent="0.25">
      <c r="S5" s="39" t="s">
        <v>76</v>
      </c>
      <c r="T5" s="41">
        <f>SQRT((U4-U3)^2+(V4-V3)^2)</f>
        <v>130.70814760084298</v>
      </c>
      <c r="U5" s="44">
        <f>ABS(U4-U3)</f>
        <v>120.35708960898624</v>
      </c>
      <c r="V5" s="45">
        <f>ABS(V4-V3)</f>
        <v>50.978336870657252</v>
      </c>
    </row>
    <row r="15" spans="19:22" x14ac:dyDescent="0.2">
      <c r="T15" s="46"/>
    </row>
  </sheetData>
  <mergeCells count="1">
    <mergeCell ref="S2:T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550A18-3C84-B440-8241-4041DAF872DE}">
          <x14:formula1>
            <xm:f>All!$B$2:$B$1025</xm:f>
          </x14:formula1>
          <xm:sqref>T3:T4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4C7F8-E501-6946-B4B9-A33A7FDAB29C}">
  <dimension ref="A1:D243"/>
  <sheetViews>
    <sheetView workbookViewId="0">
      <pane ySplit="1" topLeftCell="A161" activePane="bottomLeft" state="frozen"/>
      <selection pane="bottomLeft" activeCell="A173" sqref="A173:D180"/>
    </sheetView>
  </sheetViews>
  <sheetFormatPr baseColWidth="10" defaultRowHeight="16" x14ac:dyDescent="0.2"/>
  <sheetData>
    <row r="1" spans="1:4" x14ac:dyDescent="0.2">
      <c r="A1" t="s">
        <v>73</v>
      </c>
      <c r="B1" t="s">
        <v>6</v>
      </c>
      <c r="C1" t="s">
        <v>0</v>
      </c>
      <c r="D1" t="s">
        <v>1</v>
      </c>
    </row>
    <row r="2" spans="1:4" x14ac:dyDescent="0.2">
      <c r="A2" t="s">
        <v>28</v>
      </c>
      <c r="B2" t="str">
        <f>Landmarks!A3</f>
        <v>X</v>
      </c>
      <c r="C2">
        <f>Landmarks!B3</f>
        <v>0</v>
      </c>
      <c r="D2">
        <f>Landmarks!C3</f>
        <v>0</v>
      </c>
    </row>
    <row r="3" spans="1:4" x14ac:dyDescent="0.2">
      <c r="A3" t="s">
        <v>28</v>
      </c>
      <c r="B3" t="str">
        <f>Landmarks!A4</f>
        <v>Y</v>
      </c>
      <c r="C3">
        <f>Landmarks!B4</f>
        <v>76.89</v>
      </c>
      <c r="D3">
        <f>Landmarks!C4</f>
        <v>0</v>
      </c>
    </row>
    <row r="4" spans="1:4" x14ac:dyDescent="0.2">
      <c r="A4" t="s">
        <v>28</v>
      </c>
      <c r="B4" t="str">
        <f>Landmarks!A5</f>
        <v>A</v>
      </c>
      <c r="C4">
        <f>Landmarks!B5</f>
        <v>0</v>
      </c>
      <c r="D4">
        <f>Landmarks!C5</f>
        <v>38.99</v>
      </c>
    </row>
    <row r="5" spans="1:4" x14ac:dyDescent="0.2">
      <c r="A5" t="s">
        <v>28</v>
      </c>
      <c r="B5" t="str">
        <f>Landmarks!A6</f>
        <v>B</v>
      </c>
      <c r="C5">
        <f>Landmarks!B6</f>
        <v>76.89</v>
      </c>
      <c r="D5">
        <f>Landmarks!C6</f>
        <v>38.99</v>
      </c>
    </row>
    <row r="6" spans="1:4" x14ac:dyDescent="0.2">
      <c r="A6" t="s">
        <v>28</v>
      </c>
      <c r="B6" t="str">
        <f>Landmarks!A7</f>
        <v>C</v>
      </c>
      <c r="C6">
        <f>Landmarks!B7</f>
        <v>0</v>
      </c>
      <c r="D6">
        <f>Landmarks!C7</f>
        <v>-38.99</v>
      </c>
    </row>
    <row r="7" spans="1:4" x14ac:dyDescent="0.2">
      <c r="A7" t="s">
        <v>28</v>
      </c>
      <c r="B7" t="str">
        <f>Landmarks!A8</f>
        <v>D</v>
      </c>
      <c r="C7">
        <f>Landmarks!B8</f>
        <v>76.89</v>
      </c>
      <c r="D7">
        <f>Landmarks!C8</f>
        <v>-38.99</v>
      </c>
    </row>
    <row r="8" spans="1:4" x14ac:dyDescent="0.2">
      <c r="A8" t="s">
        <v>28</v>
      </c>
      <c r="B8" t="str">
        <f>Landmarks!A9</f>
        <v>DH (SP2)</v>
      </c>
      <c r="C8">
        <f>Landmarks!B9</f>
        <v>50.93</v>
      </c>
      <c r="D8">
        <f>Landmarks!C9</f>
        <v>33.190000000000005</v>
      </c>
    </row>
    <row r="9" spans="1:4" x14ac:dyDescent="0.2">
      <c r="A9" t="s">
        <v>28</v>
      </c>
      <c r="B9" t="str">
        <f>Landmarks!A10</f>
        <v>DH (SP6)</v>
      </c>
      <c r="C9">
        <f>Landmarks!B10</f>
        <v>-28.62</v>
      </c>
      <c r="D9">
        <f>Landmarks!C10</f>
        <v>12.11</v>
      </c>
    </row>
    <row r="10" spans="1:4" x14ac:dyDescent="0.2">
      <c r="A10" t="s">
        <v>28</v>
      </c>
      <c r="B10" t="str">
        <f>Landmarks!A11</f>
        <v>DH (SP7)</v>
      </c>
      <c r="C10">
        <f>Landmarks!B11</f>
        <v>-33.340000000000003</v>
      </c>
      <c r="D10">
        <f>Landmarks!C11</f>
        <v>0.5</v>
      </c>
    </row>
    <row r="11" spans="1:4" x14ac:dyDescent="0.2">
      <c r="A11" t="s">
        <v>28</v>
      </c>
      <c r="B11" t="str">
        <f>Landmarks!A12</f>
        <v>NIP (A)</v>
      </c>
      <c r="C11">
        <f>Landmarks!B12</f>
        <v>0</v>
      </c>
      <c r="D11">
        <f>Landmarks!C12</f>
        <v>50.589999999999996</v>
      </c>
    </row>
    <row r="12" spans="1:4" x14ac:dyDescent="0.2">
      <c r="A12" t="s">
        <v>28</v>
      </c>
      <c r="B12" t="str">
        <f>Landmarks!A13</f>
        <v>NIP (B)</v>
      </c>
      <c r="C12">
        <f>Landmarks!B13</f>
        <v>76.89</v>
      </c>
      <c r="D12">
        <f>Landmarks!C13</f>
        <v>49.529999999999994</v>
      </c>
    </row>
    <row r="13" spans="1:4" x14ac:dyDescent="0.2">
      <c r="A13" t="s">
        <v>28</v>
      </c>
      <c r="B13" t="str">
        <f>Landmarks!A14</f>
        <v>NIP (C)</v>
      </c>
      <c r="C13">
        <f>Landmarks!B14</f>
        <v>0</v>
      </c>
      <c r="D13">
        <f>Landmarks!C14</f>
        <v>-49.809999999999995</v>
      </c>
    </row>
    <row r="14" spans="1:4" x14ac:dyDescent="0.2">
      <c r="A14" t="s">
        <v>28</v>
      </c>
      <c r="B14" t="str">
        <f>Landmarks!A15</f>
        <v>NIP (D)</v>
      </c>
      <c r="C14">
        <f>Landmarks!B15</f>
        <v>76.89</v>
      </c>
      <c r="D14">
        <f>Landmarks!C15</f>
        <v>-50.069999999999993</v>
      </c>
    </row>
    <row r="15" spans="1:4" x14ac:dyDescent="0.2">
      <c r="A15" t="s">
        <v>28</v>
      </c>
      <c r="B15" t="str">
        <f>Landmarks!A16</f>
        <v>NIP (X)</v>
      </c>
      <c r="C15">
        <f>Landmarks!B16</f>
        <v>-50.57</v>
      </c>
      <c r="D15">
        <f>Landmarks!C16</f>
        <v>0</v>
      </c>
    </row>
    <row r="16" spans="1:4" x14ac:dyDescent="0.2">
      <c r="A16" t="s">
        <v>28</v>
      </c>
      <c r="B16" t="str">
        <f>Landmarks!A17</f>
        <v>NIC (1500)</v>
      </c>
      <c r="C16">
        <f>Landmarks!B17</f>
        <v>119.75</v>
      </c>
      <c r="D16">
        <f>Landmarks!C17</f>
        <v>25.67</v>
      </c>
    </row>
    <row r="17" spans="1:4" x14ac:dyDescent="0.2">
      <c r="A17" t="s">
        <v>28</v>
      </c>
      <c r="B17" t="str">
        <f>Landmarks!A18</f>
        <v>NIC (800)</v>
      </c>
      <c r="C17">
        <f>Landmarks!B18</f>
        <v>94.11</v>
      </c>
      <c r="D17">
        <f>Landmarks!C18</f>
        <v>-47.14</v>
      </c>
    </row>
    <row r="18" spans="1:4" x14ac:dyDescent="0.2">
      <c r="A18" t="s">
        <v>28</v>
      </c>
      <c r="B18" t="str">
        <f>Landmarks!A19</f>
        <v>NIC (400)</v>
      </c>
      <c r="C18">
        <f>Landmarks!B19</f>
        <v>108.67</v>
      </c>
      <c r="D18">
        <f>Landmarks!C19</f>
        <v>-38.770000000000003</v>
      </c>
    </row>
    <row r="19" spans="1:4" x14ac:dyDescent="0.2">
      <c r="A19" t="s">
        <v>28</v>
      </c>
      <c r="B19" t="str">
        <f>Landmarks!A20</f>
        <v>NIC (MH)</v>
      </c>
      <c r="C19">
        <f>Landmarks!B20</f>
        <v>8.24</v>
      </c>
      <c r="D19">
        <f>Landmarks!C20</f>
        <v>-34.96</v>
      </c>
    </row>
    <row r="20" spans="1:4" x14ac:dyDescent="0.2">
      <c r="A20" t="s">
        <v>28</v>
      </c>
      <c r="B20" t="str">
        <f>Landmarks!A21</f>
        <v>DH (Y)</v>
      </c>
      <c r="C20">
        <f>Landmarks!B21</f>
        <v>126.54</v>
      </c>
      <c r="D20">
        <f>Landmarks!C21</f>
        <v>0</v>
      </c>
    </row>
    <row r="21" spans="1:4" x14ac:dyDescent="0.2">
      <c r="A21" t="s">
        <v>28</v>
      </c>
      <c r="B21" t="str">
        <f>Landmarks!A22</f>
        <v>NIP (HS1)</v>
      </c>
      <c r="C21">
        <f>Landmarks!B22</f>
        <v>-23.11</v>
      </c>
      <c r="D21">
        <f>Landmarks!C22</f>
        <v>-38.99</v>
      </c>
    </row>
    <row r="22" spans="1:4" x14ac:dyDescent="0.2">
      <c r="A22" t="s">
        <v>28</v>
      </c>
      <c r="B22" t="str">
        <f>Landmarks!A23</f>
        <v>NIP (HS2)</v>
      </c>
      <c r="C22">
        <f>Landmarks!B23</f>
        <v>-23.11</v>
      </c>
      <c r="D22">
        <f>Landmarks!C23</f>
        <v>-48.749999999999993</v>
      </c>
    </row>
    <row r="24" spans="1:4" x14ac:dyDescent="0.2">
      <c r="A24" t="s">
        <v>78</v>
      </c>
      <c r="B24" t="str">
        <f>Starts!A3</f>
        <v>200-1</v>
      </c>
      <c r="C24" s="1">
        <f>Starts!D3</f>
        <v>-4.7748978698755303E-15</v>
      </c>
      <c r="D24" s="1">
        <f>Starts!E3</f>
        <v>38.99</v>
      </c>
    </row>
    <row r="25" spans="1:4" x14ac:dyDescent="0.2">
      <c r="A25" t="s">
        <v>78</v>
      </c>
      <c r="B25" t="str">
        <f>Starts!A4</f>
        <v>200-2</v>
      </c>
      <c r="C25" s="1">
        <f>Starts!D4</f>
        <v>-3.8080583124796639</v>
      </c>
      <c r="D25" s="1">
        <f>Starts!E4</f>
        <v>40.029274186384576</v>
      </c>
    </row>
    <row r="26" spans="1:4" x14ac:dyDescent="0.2">
      <c r="A26" t="s">
        <v>78</v>
      </c>
      <c r="B26" t="str">
        <f>Starts!A5</f>
        <v>200-3</v>
      </c>
      <c r="C26" s="1">
        <f>Starts!D5</f>
        <v>-7.5856237922469374</v>
      </c>
      <c r="D26" s="1">
        <f>Starts!E5</f>
        <v>40.729635545662539</v>
      </c>
    </row>
    <row r="27" spans="1:4" x14ac:dyDescent="0.2">
      <c r="A27" t="s">
        <v>78</v>
      </c>
      <c r="B27" t="str">
        <f>Starts!A6</f>
        <v>200-4</v>
      </c>
      <c r="C27" s="1">
        <f>Starts!D6</f>
        <v>-11.307711864332953</v>
      </c>
      <c r="D27" s="1">
        <f>Starts!E6</f>
        <v>41.123693321408084</v>
      </c>
    </row>
    <row r="28" spans="1:4" x14ac:dyDescent="0.2">
      <c r="A28" t="s">
        <v>78</v>
      </c>
      <c r="B28" t="str">
        <f>Starts!A7</f>
        <v>200-5</v>
      </c>
      <c r="C28" s="1">
        <f>Starts!D7</f>
        <v>-14.955434209628235</v>
      </c>
      <c r="D28" s="1">
        <f>Starts!E7</f>
        <v>41.242113035118379</v>
      </c>
    </row>
    <row r="29" spans="1:4" x14ac:dyDescent="0.2">
      <c r="A29" t="s">
        <v>78</v>
      </c>
      <c r="B29" t="str">
        <f>Starts!A8</f>
        <v>200-6</v>
      </c>
      <c r="C29" s="1">
        <f>Starts!D8</f>
        <v>-18.514837313612375</v>
      </c>
      <c r="D29" s="1">
        <f>Starts!E8</f>
        <v>41.113366430523136</v>
      </c>
    </row>
    <row r="30" spans="1:4" x14ac:dyDescent="0.2">
      <c r="A30" t="s">
        <v>78</v>
      </c>
      <c r="B30" t="str">
        <f>Starts!A9</f>
        <v>200-7</v>
      </c>
      <c r="C30" s="1">
        <f>Starts!D9</f>
        <v>-21.975938739861952</v>
      </c>
      <c r="D30" s="1">
        <f>Starts!E9</f>
        <v>40.763638410988712</v>
      </c>
    </row>
    <row r="31" spans="1:4" x14ac:dyDescent="0.2">
      <c r="A31" t="s">
        <v>78</v>
      </c>
      <c r="B31" t="str">
        <f>Starts!A10</f>
        <v>200-8</v>
      </c>
      <c r="C31" s="1">
        <f>Starts!D10</f>
        <v>-25.33193310499458</v>
      </c>
      <c r="D31" s="1">
        <f>Starts!E10</f>
        <v>40.216838080138508</v>
      </c>
    </row>
    <row r="33" spans="1:4" x14ac:dyDescent="0.2">
      <c r="A33" t="s">
        <v>78</v>
      </c>
      <c r="B33" t="str">
        <f>Starts!F3</f>
        <v>400-1</v>
      </c>
      <c r="C33" s="1">
        <f>Starts!I3</f>
        <v>76.890000000000015</v>
      </c>
      <c r="D33" s="1">
        <f>Starts!J3</f>
        <v>-38.99</v>
      </c>
    </row>
    <row r="34" spans="1:4" x14ac:dyDescent="0.2">
      <c r="A34" t="s">
        <v>78</v>
      </c>
      <c r="B34" t="str">
        <f>Starts!F4</f>
        <v>400-2</v>
      </c>
      <c r="C34" s="1">
        <f>Starts!I4</f>
        <v>84.471885615915909</v>
      </c>
      <c r="D34" s="1">
        <f>Starts!J4</f>
        <v>-39.488721307572973</v>
      </c>
    </row>
    <row r="35" spans="1:4" x14ac:dyDescent="0.2">
      <c r="A35" t="s">
        <v>78</v>
      </c>
      <c r="B35" t="str">
        <f>Starts!F5</f>
        <v>400-3</v>
      </c>
      <c r="C35" s="1">
        <f>Starts!I5</f>
        <v>91.804781194531714</v>
      </c>
      <c r="D35" s="1">
        <f>Starts!J5</f>
        <v>-38.652221177045483</v>
      </c>
    </row>
    <row r="36" spans="1:4" x14ac:dyDescent="0.2">
      <c r="A36" t="s">
        <v>78</v>
      </c>
      <c r="B36" t="str">
        <f>Starts!F6</f>
        <v>400-4</v>
      </c>
      <c r="C36" s="1">
        <f>Starts!I6</f>
        <v>98.69609026380661</v>
      </c>
      <c r="D36" s="1">
        <f>Starts!J6</f>
        <v>-36.654016524887396</v>
      </c>
    </row>
    <row r="37" spans="1:4" x14ac:dyDescent="0.2">
      <c r="A37" t="s">
        <v>78</v>
      </c>
      <c r="B37" t="str">
        <f>Starts!F7</f>
        <v>400-5</v>
      </c>
      <c r="C37" s="1">
        <f>Starts!I7</f>
        <v>105.00915697117684</v>
      </c>
      <c r="D37" s="1">
        <f>Starts!J7</f>
        <v>-33.673281860108567</v>
      </c>
    </row>
    <row r="38" spans="1:4" x14ac:dyDescent="0.2">
      <c r="A38" t="s">
        <v>78</v>
      </c>
      <c r="B38" t="str">
        <f>Starts!F8</f>
        <v>400-6</v>
      </c>
      <c r="C38" s="1">
        <f>Starts!I8</f>
        <v>110.65390733537667</v>
      </c>
      <c r="D38" s="1">
        <f>Starts!J8</f>
        <v>-29.884890186314838</v>
      </c>
    </row>
    <row r="39" spans="1:4" x14ac:dyDescent="0.2">
      <c r="A39" t="s">
        <v>78</v>
      </c>
      <c r="B39" t="str">
        <f>Starts!F9</f>
        <v>400-7</v>
      </c>
      <c r="C39" s="1">
        <f>Starts!I9</f>
        <v>115.57793869720453</v>
      </c>
      <c r="D39" s="1">
        <f>Starts!J9</f>
        <v>-25.453084279932426</v>
      </c>
    </row>
    <row r="40" spans="1:4" x14ac:dyDescent="0.2">
      <c r="A40" t="s">
        <v>78</v>
      </c>
      <c r="B40" t="str">
        <f>Starts!F10</f>
        <v>400-8</v>
      </c>
      <c r="C40" s="1">
        <f>Starts!I10</f>
        <v>119.75851470399607</v>
      </c>
      <c r="D40" s="1">
        <f>Starts!J10</f>
        <v>-20.527818858156163</v>
      </c>
    </row>
    <row r="42" spans="1:4" x14ac:dyDescent="0.2">
      <c r="A42" t="s">
        <v>78</v>
      </c>
      <c r="B42" t="str">
        <f>Starts!K3</f>
        <v>800-S-1</v>
      </c>
      <c r="C42" s="1">
        <f>Starts!N3</f>
        <v>76.890000000000015</v>
      </c>
      <c r="D42" s="1">
        <f>Starts!O3</f>
        <v>-38.99</v>
      </c>
    </row>
    <row r="43" spans="1:4" x14ac:dyDescent="0.2">
      <c r="A43" t="s">
        <v>78</v>
      </c>
      <c r="B43" t="str">
        <f>Starts!K4</f>
        <v>800-S-2</v>
      </c>
      <c r="C43" s="1">
        <f>Starts!N4</f>
        <v>80.698058312479688</v>
      </c>
      <c r="D43" s="1">
        <f>Starts!O4</f>
        <v>-40.029274186384576</v>
      </c>
    </row>
    <row r="44" spans="1:4" x14ac:dyDescent="0.2">
      <c r="A44" t="s">
        <v>78</v>
      </c>
      <c r="B44" t="str">
        <f>Starts!K5</f>
        <v>800-S-3</v>
      </c>
      <c r="C44" s="1">
        <f>Starts!N5</f>
        <v>84.485407295508381</v>
      </c>
      <c r="D44" s="1">
        <f>Starts!O5</f>
        <v>-40.727812217394366</v>
      </c>
    </row>
    <row r="45" spans="1:4" x14ac:dyDescent="0.2">
      <c r="A45" t="s">
        <v>78</v>
      </c>
      <c r="B45" t="str">
        <f>Starts!K6</f>
        <v>800-S-4</v>
      </c>
      <c r="C45" s="1">
        <f>Starts!N6</f>
        <v>88.216904887867315</v>
      </c>
      <c r="D45" s="1">
        <f>Starts!O6</f>
        <v>-41.118411030354849</v>
      </c>
    </row>
    <row r="46" spans="1:4" x14ac:dyDescent="0.2">
      <c r="A46" t="s">
        <v>78</v>
      </c>
      <c r="B46" t="str">
        <f>Starts!K7</f>
        <v>800-S-5</v>
      </c>
      <c r="C46" s="1">
        <f>Starts!N7</f>
        <v>91.938978820096153</v>
      </c>
      <c r="D46" s="1">
        <f>Starts!O7</f>
        <v>-41.208071253970353</v>
      </c>
    </row>
    <row r="47" spans="1:4" x14ac:dyDescent="0.2">
      <c r="A47" t="s">
        <v>78</v>
      </c>
      <c r="B47" t="str">
        <f>Starts!K8</f>
        <v>800-S-6</v>
      </c>
      <c r="C47" s="1">
        <f>Starts!N8</f>
        <v>95.595271445875511</v>
      </c>
      <c r="D47" s="1">
        <f>Starts!O8</f>
        <v>-41.027075451902661</v>
      </c>
    </row>
    <row r="48" spans="1:4" x14ac:dyDescent="0.2">
      <c r="A48" t="s">
        <v>78</v>
      </c>
      <c r="B48" t="str">
        <f>Starts!K9</f>
        <v>800-S-7</v>
      </c>
      <c r="C48" s="1">
        <f>Starts!N9</f>
        <v>99.145880032316171</v>
      </c>
      <c r="D48" s="1">
        <f>Starts!O9</f>
        <v>-40.611475028459019</v>
      </c>
    </row>
    <row r="49" spans="1:4" x14ac:dyDescent="0.2">
      <c r="A49" t="s">
        <v>78</v>
      </c>
      <c r="B49" t="str">
        <f>Starts!K10</f>
        <v>800-S-8</v>
      </c>
      <c r="C49" s="1">
        <f>Starts!N10</f>
        <v>102.58321406925162</v>
      </c>
      <c r="D49" s="1">
        <f>Starts!O10</f>
        <v>-39.986993520288692</v>
      </c>
    </row>
    <row r="50" spans="1:4" x14ac:dyDescent="0.2">
      <c r="A50" t="s">
        <v>78</v>
      </c>
      <c r="B50" t="str">
        <f>Starts!K11</f>
        <v>800-B-1</v>
      </c>
      <c r="C50" s="1">
        <f>Starts!N11</f>
        <v>76.89</v>
      </c>
      <c r="D50" s="1">
        <f>Starts!O11</f>
        <v>38.99</v>
      </c>
    </row>
    <row r="51" spans="1:4" x14ac:dyDescent="0.2">
      <c r="A51" t="s">
        <v>78</v>
      </c>
      <c r="B51" t="str">
        <f>Starts!K12</f>
        <v>800-B-2</v>
      </c>
      <c r="C51" s="1">
        <f>Starts!N12</f>
        <v>76.89</v>
      </c>
      <c r="D51" s="1">
        <f>Starts!O12</f>
        <v>40.21</v>
      </c>
    </row>
    <row r="52" spans="1:4" x14ac:dyDescent="0.2">
      <c r="A52" t="s">
        <v>78</v>
      </c>
      <c r="B52" t="str">
        <f>Starts!K13</f>
        <v>800-B-3</v>
      </c>
      <c r="C52" s="1">
        <f>Starts!N13</f>
        <v>76.88</v>
      </c>
      <c r="D52" s="1">
        <f>Starts!O13</f>
        <v>41.43</v>
      </c>
    </row>
    <row r="53" spans="1:4" x14ac:dyDescent="0.2">
      <c r="A53" t="s">
        <v>78</v>
      </c>
      <c r="B53" t="str">
        <f>Starts!K14</f>
        <v>800-B-4</v>
      </c>
      <c r="C53" s="1">
        <f>Starts!N14</f>
        <v>76.87</v>
      </c>
      <c r="D53" s="1">
        <f>Starts!O14</f>
        <v>42.65</v>
      </c>
    </row>
    <row r="54" spans="1:4" x14ac:dyDescent="0.2">
      <c r="A54" t="s">
        <v>78</v>
      </c>
      <c r="B54" t="str">
        <f>Starts!K15</f>
        <v>800-B-5</v>
      </c>
      <c r="C54" s="1">
        <f>Starts!N15</f>
        <v>76.790000000000006</v>
      </c>
      <c r="D54" s="1">
        <f>Starts!O15</f>
        <v>43.87</v>
      </c>
    </row>
    <row r="55" spans="1:4" x14ac:dyDescent="0.2">
      <c r="A55" t="s">
        <v>78</v>
      </c>
      <c r="B55" t="str">
        <f>Starts!K16</f>
        <v>800-B-6</v>
      </c>
      <c r="C55" s="1">
        <f>Starts!N16</f>
        <v>76.680000000000007</v>
      </c>
      <c r="D55" s="1">
        <f>Starts!O16</f>
        <v>45.089999999999996</v>
      </c>
    </row>
    <row r="56" spans="1:4" x14ac:dyDescent="0.2">
      <c r="A56" t="s">
        <v>78</v>
      </c>
      <c r="B56" t="str">
        <f>Starts!K17</f>
        <v>800-B-7</v>
      </c>
      <c r="C56" s="1">
        <f>Starts!N17</f>
        <v>76.570000000000007</v>
      </c>
      <c r="D56" s="1">
        <f>Starts!O17</f>
        <v>46.309999999999995</v>
      </c>
    </row>
    <row r="57" spans="1:4" x14ac:dyDescent="0.2">
      <c r="A57" t="s">
        <v>78</v>
      </c>
      <c r="B57" t="str">
        <f>Starts!K18</f>
        <v>800-B-8</v>
      </c>
      <c r="C57" s="1">
        <f>Starts!N18</f>
        <v>76.459999999999994</v>
      </c>
      <c r="D57" s="1">
        <f>Starts!O18</f>
        <v>47.529999999999994</v>
      </c>
    </row>
    <row r="58" spans="1:4" x14ac:dyDescent="0.2">
      <c r="A58" t="s">
        <v>78</v>
      </c>
      <c r="B58" t="str">
        <f>Starts!K19</f>
        <v>800-B-9</v>
      </c>
      <c r="C58" s="1">
        <f>Starts!N19</f>
        <v>76.33</v>
      </c>
      <c r="D58" s="1">
        <f>Starts!O19</f>
        <v>48.749999999999993</v>
      </c>
    </row>
    <row r="60" spans="1:4" x14ac:dyDescent="0.2">
      <c r="A60" t="s">
        <v>78</v>
      </c>
      <c r="B60" t="str">
        <f>Starts!U3</f>
        <v>1500-1</v>
      </c>
      <c r="C60" s="1">
        <f>Starts!X3</f>
        <v>98.576239608110257</v>
      </c>
      <c r="D60" s="1">
        <f>Starts!Y3</f>
        <v>32.402578781011094</v>
      </c>
    </row>
    <row r="61" spans="1:4" x14ac:dyDescent="0.2">
      <c r="A61" t="s">
        <v>78</v>
      </c>
      <c r="B61" t="str">
        <f>Starts!U4</f>
        <v>1500-2</v>
      </c>
      <c r="C61" s="1">
        <f>Starts!X4</f>
        <v>99.109191667173604</v>
      </c>
      <c r="D61" s="1">
        <f>Starts!Y4</f>
        <v>33.513454337883516</v>
      </c>
    </row>
    <row r="62" spans="1:4" x14ac:dyDescent="0.2">
      <c r="A62" t="s">
        <v>78</v>
      </c>
      <c r="B62" t="str">
        <f>Starts!U5</f>
        <v>1500-3</v>
      </c>
      <c r="C62" s="1">
        <f>Starts!X5</f>
        <v>99.503065276657281</v>
      </c>
      <c r="D62" s="1">
        <f>Starts!Y5</f>
        <v>34.714466419543839</v>
      </c>
    </row>
    <row r="63" spans="1:4" x14ac:dyDescent="0.2">
      <c r="A63" t="s">
        <v>78</v>
      </c>
      <c r="B63" t="str">
        <f>Starts!U6</f>
        <v>1500-4</v>
      </c>
      <c r="C63" s="1">
        <f>Starts!X6</f>
        <v>99.752803022146409</v>
      </c>
      <c r="D63" s="1">
        <f>Starts!Y6</f>
        <v>36.004371095334143</v>
      </c>
    </row>
    <row r="64" spans="1:4" x14ac:dyDescent="0.2">
      <c r="A64" t="s">
        <v>78</v>
      </c>
      <c r="B64" t="str">
        <f>Starts!U7</f>
        <v>1500-5</v>
      </c>
      <c r="C64" s="1">
        <f>Starts!X7</f>
        <v>99.914850298334116</v>
      </c>
      <c r="D64" s="1">
        <f>Starts!Y7</f>
        <v>37.342109859236707</v>
      </c>
    </row>
    <row r="65" spans="1:4" x14ac:dyDescent="0.2">
      <c r="A65" t="s">
        <v>78</v>
      </c>
      <c r="B65" t="str">
        <f>Starts!U8</f>
        <v>1500-6</v>
      </c>
      <c r="C65" s="1">
        <f>Starts!X8</f>
        <v>100.01316128302297</v>
      </c>
      <c r="D65" s="1">
        <f>Starts!Y8</f>
        <v>38.709527409661149</v>
      </c>
    </row>
    <row r="66" spans="1:4" x14ac:dyDescent="0.2">
      <c r="A66" t="s">
        <v>78</v>
      </c>
      <c r="B66" t="str">
        <f>Starts!U9</f>
        <v>1500-7</v>
      </c>
      <c r="C66" s="1">
        <f>Starts!X9</f>
        <v>99.960397049288389</v>
      </c>
      <c r="D66" s="1">
        <f>Starts!Y9</f>
        <v>40.154363150076051</v>
      </c>
    </row>
    <row r="67" spans="1:4" x14ac:dyDescent="0.2">
      <c r="A67" t="s">
        <v>78</v>
      </c>
      <c r="B67" t="str">
        <f>Starts!U10</f>
        <v>1500-8</v>
      </c>
      <c r="C67" s="1">
        <f>Starts!X10</f>
        <v>99.76162781012097</v>
      </c>
      <c r="D67" s="1">
        <f>Starts!Y10</f>
        <v>41.665207803577559</v>
      </c>
    </row>
    <row r="68" spans="1:4" x14ac:dyDescent="0.2">
      <c r="A68" t="s">
        <v>78</v>
      </c>
      <c r="B68" t="str">
        <f>Starts!U11</f>
        <v>1500-9</v>
      </c>
      <c r="C68" s="1">
        <f>Starts!X11</f>
        <v>99.377915369227267</v>
      </c>
      <c r="D68" s="1">
        <f>Starts!Y11</f>
        <v>43.253394807187931</v>
      </c>
    </row>
    <row r="70" spans="1:4" x14ac:dyDescent="0.2">
      <c r="A70" t="s">
        <v>78</v>
      </c>
      <c r="B70" t="str">
        <f>Starts!P3</f>
        <v>3000-1</v>
      </c>
      <c r="C70" s="1">
        <f>Starts!S3</f>
        <v>-4.7748978698755303E-15</v>
      </c>
      <c r="D70" s="1">
        <f>Starts!T3</f>
        <v>38.99</v>
      </c>
    </row>
    <row r="71" spans="1:4" x14ac:dyDescent="0.2">
      <c r="A71" t="s">
        <v>78</v>
      </c>
      <c r="B71" t="str">
        <f>Starts!P4</f>
        <v>3000-2</v>
      </c>
      <c r="C71" s="1">
        <f>Starts!S4</f>
        <v>-0.17090853464282107</v>
      </c>
      <c r="D71" s="1">
        <f>Starts!T4</f>
        <v>40.209636783646609</v>
      </c>
    </row>
    <row r="72" spans="1:4" x14ac:dyDescent="0.2">
      <c r="A72" t="s">
        <v>78</v>
      </c>
      <c r="B72" t="str">
        <f>Starts!P5</f>
        <v>3000-3</v>
      </c>
      <c r="C72" s="1">
        <f>Starts!S5</f>
        <v>-0.52196853142739319</v>
      </c>
      <c r="D72" s="1">
        <f>Starts!T5</f>
        <v>41.426711779384561</v>
      </c>
    </row>
    <row r="73" spans="1:4" x14ac:dyDescent="0.2">
      <c r="A73" t="s">
        <v>78</v>
      </c>
      <c r="B73" t="str">
        <f>Starts!P6</f>
        <v>3000-4</v>
      </c>
      <c r="C73" s="1">
        <f>Starts!S6</f>
        <v>-1.0323031017663094</v>
      </c>
      <c r="D73" s="1">
        <f>Starts!T6</f>
        <v>42.637505207341619</v>
      </c>
    </row>
    <row r="74" spans="1:4" x14ac:dyDescent="0.2">
      <c r="A74" t="s">
        <v>78</v>
      </c>
      <c r="B74" t="str">
        <f>Starts!P7</f>
        <v>3000-5</v>
      </c>
      <c r="C74" s="1">
        <f>Starts!S7</f>
        <v>-1.6321688196206667</v>
      </c>
      <c r="D74" s="1">
        <f>Starts!T7</f>
        <v>43.839627335827771</v>
      </c>
    </row>
    <row r="75" spans="1:4" x14ac:dyDescent="0.2">
      <c r="A75" t="s">
        <v>78</v>
      </c>
      <c r="B75" t="str">
        <f>Starts!P8</f>
        <v>3000-6</v>
      </c>
      <c r="C75" s="1">
        <f>Starts!S8</f>
        <v>-2.3412882843061742</v>
      </c>
      <c r="D75" s="1">
        <f>Starts!T8</f>
        <v>45.029173534163057</v>
      </c>
    </row>
    <row r="76" spans="1:4" x14ac:dyDescent="0.2">
      <c r="A76" t="s">
        <v>78</v>
      </c>
      <c r="B76" t="str">
        <f>Starts!P9</f>
        <v>3000-7</v>
      </c>
      <c r="C76" s="1">
        <f>Starts!S9</f>
        <v>-3.1593634098799424</v>
      </c>
      <c r="D76" s="1">
        <f>Starts!T9</f>
        <v>46.20210517762488</v>
      </c>
    </row>
    <row r="77" spans="1:4" x14ac:dyDescent="0.2">
      <c r="A77" t="s">
        <v>78</v>
      </c>
      <c r="B77" t="str">
        <f>Starts!P10</f>
        <v>3000-8</v>
      </c>
      <c r="C77" s="1">
        <f>Starts!S10</f>
        <v>-4.1157164228888936</v>
      </c>
      <c r="D77" s="1">
        <f>Starts!T10</f>
        <v>47.351470709222561</v>
      </c>
    </row>
    <row r="78" spans="1:4" x14ac:dyDescent="0.2">
      <c r="A78" t="s">
        <v>78</v>
      </c>
      <c r="B78" t="str">
        <f>Starts!P11</f>
        <v>3000-9</v>
      </c>
      <c r="C78" s="1">
        <f>Starts!S11</f>
        <v>-5.239285582359118</v>
      </c>
      <c r="D78" s="1">
        <f>Starts!T11</f>
        <v>48.467642676186379</v>
      </c>
    </row>
    <row r="80" spans="1:4" x14ac:dyDescent="0.2">
      <c r="A80" t="s">
        <v>79</v>
      </c>
      <c r="B80" t="str">
        <f>Relays!A3</f>
        <v>R-S-1-1</v>
      </c>
      <c r="C80" s="1">
        <f>Relays!D3</f>
        <v>111.6406603040468</v>
      </c>
      <c r="D80" s="1">
        <f>Relays!E3</f>
        <v>17.680828838964135</v>
      </c>
    </row>
    <row r="81" spans="1:4" x14ac:dyDescent="0.2">
      <c r="A81" t="s">
        <v>79</v>
      </c>
      <c r="B81" t="str">
        <f>Relays!A4</f>
        <v>R-S-1-2</v>
      </c>
      <c r="C81" s="1">
        <f>Relays!D4</f>
        <v>110.10586943978981</v>
      </c>
      <c r="D81" s="1">
        <f>Relays!E4</f>
        <v>22.661644189220642</v>
      </c>
    </row>
    <row r="82" spans="1:4" x14ac:dyDescent="0.2">
      <c r="A82" t="s">
        <v>79</v>
      </c>
      <c r="B82" t="str">
        <f>Relays!A5</f>
        <v>R-S-1-3</v>
      </c>
      <c r="C82" s="1">
        <f>Relays!D5</f>
        <v>108.0572329557146</v>
      </c>
      <c r="D82" s="1">
        <f>Relays!E5</f>
        <v>27.295576379410232</v>
      </c>
    </row>
    <row r="83" spans="1:4" x14ac:dyDescent="0.2">
      <c r="A83" t="s">
        <v>79</v>
      </c>
      <c r="B83" t="str">
        <f>Relays!A6</f>
        <v>R-S-1-4</v>
      </c>
      <c r="C83" s="1">
        <f>Relays!D6</f>
        <v>105.58016015318935</v>
      </c>
      <c r="D83" s="1">
        <f>Relays!E6</f>
        <v>31.557839127296809</v>
      </c>
    </row>
    <row r="84" spans="1:4" x14ac:dyDescent="0.2">
      <c r="A84" t="s">
        <v>79</v>
      </c>
      <c r="B84" t="str">
        <f>Relays!A7</f>
        <v>R-S-1-5</v>
      </c>
      <c r="C84" s="1">
        <f>Relays!D7</f>
        <v>102.75141148499223</v>
      </c>
      <c r="D84" s="1">
        <f>Relays!E7</f>
        <v>35.436764750805224</v>
      </c>
    </row>
    <row r="85" spans="1:4" x14ac:dyDescent="0.2">
      <c r="A85" t="s">
        <v>79</v>
      </c>
      <c r="B85" t="str">
        <f>Relays!A8</f>
        <v>R-S-1-6</v>
      </c>
      <c r="C85" s="1">
        <f>Relays!D8</f>
        <v>99.63903574142131</v>
      </c>
      <c r="D85" s="1">
        <f>Relays!E8</f>
        <v>38.930572469917976</v>
      </c>
    </row>
    <row r="86" spans="1:4" x14ac:dyDescent="0.2">
      <c r="A86" t="s">
        <v>79</v>
      </c>
      <c r="B86" t="str">
        <f>Relays!A9</f>
        <v>R-S-1-7</v>
      </c>
      <c r="C86" s="1">
        <f>Relays!D9</f>
        <v>96.302699184826693</v>
      </c>
      <c r="D86" s="1">
        <f>Relays!E9</f>
        <v>42.044776255314147</v>
      </c>
    </row>
    <row r="87" spans="1:4" x14ac:dyDescent="0.2">
      <c r="A87" t="s">
        <v>79</v>
      </c>
      <c r="B87" t="str">
        <f>Relays!A10</f>
        <v>R-S-1-8</v>
      </c>
      <c r="C87" s="1">
        <f>Relays!D10</f>
        <v>92.794242227277053</v>
      </c>
      <c r="D87" s="1">
        <f>Relays!E10</f>
        <v>44.790132609494435</v>
      </c>
    </row>
    <row r="88" spans="1:4" x14ac:dyDescent="0.2">
      <c r="A88" t="s">
        <v>79</v>
      </c>
      <c r="B88" t="str">
        <f>Relays!A11</f>
        <v>R-M-1-1</v>
      </c>
      <c r="C88" s="1">
        <f>Relays!D11</f>
        <v>98.576239608110257</v>
      </c>
      <c r="D88" s="1">
        <f>Relays!E11</f>
        <v>32.402578781011094</v>
      </c>
    </row>
    <row r="89" spans="1:4" x14ac:dyDescent="0.2">
      <c r="A89" t="s">
        <v>79</v>
      </c>
      <c r="B89" t="str">
        <f>Relays!A12</f>
        <v>R-M-1-2</v>
      </c>
      <c r="C89" s="1">
        <f>Relays!D12</f>
        <v>95.356535099252511</v>
      </c>
      <c r="D89" s="1">
        <f>Relays!E12</f>
        <v>35.718779114466876</v>
      </c>
    </row>
    <row r="90" spans="1:4" x14ac:dyDescent="0.2">
      <c r="A90" t="s">
        <v>79</v>
      </c>
      <c r="B90" t="str">
        <f>Relays!A13</f>
        <v>R-M-1-3</v>
      </c>
      <c r="C90" s="1">
        <f>Relays!D13</f>
        <v>91.914326843467833</v>
      </c>
      <c r="D90" s="1">
        <f>Relays!E13</f>
        <v>38.609772116663052</v>
      </c>
    </row>
    <row r="91" spans="1:4" x14ac:dyDescent="0.2">
      <c r="A91" t="s">
        <v>79</v>
      </c>
      <c r="B91" t="str">
        <f>Relays!A14</f>
        <v>R-M-1-4</v>
      </c>
      <c r="C91" s="1">
        <f>Relays!D14</f>
        <v>88.310962735096851</v>
      </c>
      <c r="D91" s="1">
        <f>Relays!E14</f>
        <v>41.092385063458273</v>
      </c>
    </row>
    <row r="92" spans="1:4" x14ac:dyDescent="0.2">
      <c r="A92" t="s">
        <v>79</v>
      </c>
      <c r="B92" t="str">
        <f>Relays!A15</f>
        <v>R-M-1-5</v>
      </c>
      <c r="C92" s="1">
        <f>Relays!D15</f>
        <v>84.597992517387055</v>
      </c>
      <c r="D92" s="1">
        <f>Relays!E15</f>
        <v>43.18754162199911</v>
      </c>
    </row>
    <row r="93" spans="1:4" x14ac:dyDescent="0.2">
      <c r="A93" t="s">
        <v>79</v>
      </c>
      <c r="B93" t="str">
        <f>Relays!A16</f>
        <v>R-M-1-6</v>
      </c>
      <c r="C93" s="1">
        <f>Relays!D16</f>
        <v>80.818359557017502</v>
      </c>
      <c r="D93" s="1">
        <f>Relays!E16</f>
        <v>44.918549522338637</v>
      </c>
    </row>
    <row r="94" spans="1:4" x14ac:dyDescent="0.2">
      <c r="A94" t="s">
        <v>79</v>
      </c>
      <c r="B94" t="str">
        <f>Relays!A17</f>
        <v>R-M-1-7</v>
      </c>
      <c r="C94" s="1">
        <f>Relays!D17</f>
        <v>77.007542064603385</v>
      </c>
      <c r="D94" s="1">
        <f>Relays!E17</f>
        <v>46.309850829635032</v>
      </c>
    </row>
    <row r="95" spans="1:4" x14ac:dyDescent="0.2">
      <c r="A95" t="s">
        <v>79</v>
      </c>
      <c r="B95" t="str">
        <f>Relays!A18</f>
        <v>R-M-1-8</v>
      </c>
      <c r="C95" s="1">
        <f>Relays!D18</f>
        <v>73.175306785435168</v>
      </c>
      <c r="D95" s="1">
        <f>Relays!E18</f>
        <v>47.529999999999994</v>
      </c>
    </row>
    <row r="96" spans="1:4" x14ac:dyDescent="0.2">
      <c r="A96" t="s">
        <v>79</v>
      </c>
      <c r="B96" t="str">
        <f>Relays!A19</f>
        <v>R-E-1-1</v>
      </c>
      <c r="C96" s="1">
        <f>Relays!D19</f>
        <v>89.695421452194694</v>
      </c>
      <c r="D96" s="1">
        <f>Relays!E19</f>
        <v>36.827181285453712</v>
      </c>
    </row>
    <row r="97" spans="1:4" x14ac:dyDescent="0.2">
      <c r="A97" t="s">
        <v>79</v>
      </c>
      <c r="B97" t="str">
        <f>Relays!A20</f>
        <v>R-E-1-2</v>
      </c>
      <c r="C97" s="1">
        <f>Relays!D20</f>
        <v>86.044831287051025</v>
      </c>
      <c r="D97" s="1">
        <f>Relays!E20</f>
        <v>39.153967412072454</v>
      </c>
    </row>
    <row r="98" spans="1:4" x14ac:dyDescent="0.2">
      <c r="A98" t="s">
        <v>79</v>
      </c>
      <c r="B98" t="str">
        <f>Relays!A21</f>
        <v>R-E-1-3</v>
      </c>
      <c r="C98" s="1">
        <f>Relays!D21</f>
        <v>82.297372284254024</v>
      </c>
      <c r="D98" s="1">
        <f>Relays!E21</f>
        <v>41.075603768897679</v>
      </c>
    </row>
    <row r="99" spans="1:4" x14ac:dyDescent="0.2">
      <c r="A99" t="s">
        <v>79</v>
      </c>
      <c r="B99" t="str">
        <f>Relays!A22</f>
        <v>R-E-1-4</v>
      </c>
      <c r="C99" s="1">
        <f>Relays!D22</f>
        <v>78.498353596358044</v>
      </c>
      <c r="D99" s="1">
        <f>Relays!E22</f>
        <v>42.619663287138742</v>
      </c>
    </row>
    <row r="100" spans="1:4" x14ac:dyDescent="0.2">
      <c r="A100" t="s">
        <v>79</v>
      </c>
      <c r="B100" t="str">
        <f>Relays!A23</f>
        <v>R-E-1-5</v>
      </c>
      <c r="C100" s="1">
        <f>Relays!D23</f>
        <v>74.6735358975738</v>
      </c>
      <c r="D100" s="1">
        <f>Relays!E23</f>
        <v>43.87</v>
      </c>
    </row>
    <row r="101" spans="1:4" x14ac:dyDescent="0.2">
      <c r="A101" t="s">
        <v>79</v>
      </c>
      <c r="B101" t="str">
        <f>Relays!A24</f>
        <v>R-E-1-6</v>
      </c>
      <c r="C101" s="1">
        <f>Relays!D24</f>
        <v>70.840792860194256</v>
      </c>
      <c r="D101" s="1">
        <f>Relays!E24</f>
        <v>45.089999999999996</v>
      </c>
    </row>
    <row r="102" spans="1:4" x14ac:dyDescent="0.2">
      <c r="A102" t="s">
        <v>79</v>
      </c>
      <c r="B102" t="str">
        <f>Relays!A25</f>
        <v>R-E-1-7</v>
      </c>
      <c r="C102" s="1">
        <f>Relays!D25</f>
        <v>67.008049822814712</v>
      </c>
      <c r="D102" s="1">
        <f>Relays!E25</f>
        <v>46.309999999999995</v>
      </c>
    </row>
    <row r="103" spans="1:4" x14ac:dyDescent="0.2">
      <c r="A103" t="s">
        <v>79</v>
      </c>
      <c r="B103" t="str">
        <f>Relays!A26</f>
        <v>R-E-1-8</v>
      </c>
      <c r="C103" s="1">
        <f>Relays!D26</f>
        <v>63.175306785435161</v>
      </c>
      <c r="D103" s="1">
        <f>Relays!E26</f>
        <v>47.529999999999994</v>
      </c>
    </row>
    <row r="105" spans="1:4" x14ac:dyDescent="0.2">
      <c r="A105" t="s">
        <v>79</v>
      </c>
      <c r="B105" t="str">
        <f>Relays!F3</f>
        <v>R-S-2-1</v>
      </c>
      <c r="C105" s="1">
        <f>Relays!I3</f>
        <v>19.999999999999993</v>
      </c>
      <c r="D105" s="1">
        <f>Relays!J3</f>
        <v>38.99</v>
      </c>
    </row>
    <row r="106" spans="1:4" x14ac:dyDescent="0.2">
      <c r="A106" t="s">
        <v>79</v>
      </c>
      <c r="B106" t="str">
        <f>Relays!F4</f>
        <v>R-S-2-2</v>
      </c>
      <c r="C106" s="1">
        <f>Relays!I4</f>
        <v>16.167256962620453</v>
      </c>
      <c r="D106" s="1">
        <f>Relays!J4</f>
        <v>40.21</v>
      </c>
    </row>
    <row r="107" spans="1:4" x14ac:dyDescent="0.2">
      <c r="A107" t="s">
        <v>79</v>
      </c>
      <c r="B107" t="str">
        <f>Relays!F5</f>
        <v>R-S-2-3</v>
      </c>
      <c r="C107" s="1">
        <f>Relays!I5</f>
        <v>12.334513925240909</v>
      </c>
      <c r="D107" s="1">
        <f>Relays!J5</f>
        <v>41.43</v>
      </c>
    </row>
    <row r="108" spans="1:4" x14ac:dyDescent="0.2">
      <c r="A108" t="s">
        <v>79</v>
      </c>
      <c r="B108" t="str">
        <f>Relays!F6</f>
        <v>R-S-2-4</v>
      </c>
      <c r="C108" s="1">
        <f>Relays!I6</f>
        <v>8.5017708878613636</v>
      </c>
      <c r="D108" s="1">
        <f>Relays!J6</f>
        <v>42.65</v>
      </c>
    </row>
    <row r="109" spans="1:4" x14ac:dyDescent="0.2">
      <c r="A109" t="s">
        <v>79</v>
      </c>
      <c r="B109" t="str">
        <f>Relays!F7</f>
        <v>R-S-2-5</v>
      </c>
      <c r="C109" s="1">
        <f>Relays!I7</f>
        <v>4.6690278504818199</v>
      </c>
      <c r="D109" s="1">
        <f>Relays!J7</f>
        <v>43.87</v>
      </c>
    </row>
    <row r="110" spans="1:4" x14ac:dyDescent="0.2">
      <c r="A110" t="s">
        <v>79</v>
      </c>
      <c r="B110" t="str">
        <f>Relays!F8</f>
        <v>R-S-2-6</v>
      </c>
      <c r="C110" s="1">
        <f>Relays!I8</f>
        <v>0.83628481310227598</v>
      </c>
      <c r="D110" s="1">
        <f>Relays!J8</f>
        <v>45.089999999999996</v>
      </c>
    </row>
    <row r="111" spans="1:4" x14ac:dyDescent="0.2">
      <c r="A111" t="s">
        <v>79</v>
      </c>
      <c r="B111" t="str">
        <f>Relays!F9</f>
        <v>R-S-2-7</v>
      </c>
      <c r="C111" s="1">
        <f>Relays!I9</f>
        <v>-2.9815094336137671</v>
      </c>
      <c r="D111" s="1">
        <f>Relays!J9</f>
        <v>46.213923242863416</v>
      </c>
    </row>
    <row r="112" spans="1:4" x14ac:dyDescent="0.2">
      <c r="A112" t="s">
        <v>79</v>
      </c>
      <c r="B112" t="str">
        <f>Relays!F10</f>
        <v>R-S-2-8</v>
      </c>
      <c r="C112" s="1">
        <f>Relays!I10</f>
        <v>-6.7774056110842142</v>
      </c>
      <c r="D112" s="1">
        <f>Relays!J10</f>
        <v>47.044316056064027</v>
      </c>
    </row>
    <row r="113" spans="1:4" x14ac:dyDescent="0.2">
      <c r="A113" t="s">
        <v>79</v>
      </c>
      <c r="B113" t="str">
        <f>Relays!F11</f>
        <v>R-M-2-1</v>
      </c>
      <c r="C113" s="1">
        <f>Relays!I11</f>
        <v>-4.7748978698755303E-15</v>
      </c>
      <c r="D113" s="1">
        <f>Relays!J11</f>
        <v>38.99</v>
      </c>
    </row>
    <row r="114" spans="1:4" x14ac:dyDescent="0.2">
      <c r="A114" t="s">
        <v>79</v>
      </c>
      <c r="B114" t="str">
        <f>Relays!F12</f>
        <v>R-M-2-2</v>
      </c>
      <c r="C114" s="1">
        <f>Relays!I12</f>
        <v>-3.8080583124796639</v>
      </c>
      <c r="D114" s="1">
        <f>Relays!J12</f>
        <v>40.029274186384576</v>
      </c>
    </row>
    <row r="115" spans="1:4" x14ac:dyDescent="0.2">
      <c r="A115" t="s">
        <v>79</v>
      </c>
      <c r="B115" t="str">
        <f>Relays!F13</f>
        <v>R-M-2-3</v>
      </c>
      <c r="C115" s="1">
        <f>Relays!I13</f>
        <v>-7.5856237922469374</v>
      </c>
      <c r="D115" s="1">
        <f>Relays!J13</f>
        <v>40.729635545662539</v>
      </c>
    </row>
    <row r="116" spans="1:4" x14ac:dyDescent="0.2">
      <c r="A116" t="s">
        <v>79</v>
      </c>
      <c r="B116" t="str">
        <f>Relays!F14</f>
        <v>R-M-2-4</v>
      </c>
      <c r="C116" s="1">
        <f>Relays!I14</f>
        <v>-11.307711864332953</v>
      </c>
      <c r="D116" s="1">
        <f>Relays!J14</f>
        <v>41.123693321408084</v>
      </c>
    </row>
    <row r="117" spans="1:4" x14ac:dyDescent="0.2">
      <c r="A117" t="s">
        <v>79</v>
      </c>
      <c r="B117" t="str">
        <f>Relays!F15</f>
        <v>R-M-2-5</v>
      </c>
      <c r="C117" s="1">
        <f>Relays!I15</f>
        <v>-14.955434209628235</v>
      </c>
      <c r="D117" s="1">
        <f>Relays!J15</f>
        <v>41.242113035118379</v>
      </c>
    </row>
    <row r="118" spans="1:4" x14ac:dyDescent="0.2">
      <c r="A118" t="s">
        <v>79</v>
      </c>
      <c r="B118" t="str">
        <f>Relays!F16</f>
        <v>R-M-2-6</v>
      </c>
      <c r="C118" s="1">
        <f>Relays!I16</f>
        <v>-18.514837313612375</v>
      </c>
      <c r="D118" s="1">
        <f>Relays!J16</f>
        <v>41.113366430523136</v>
      </c>
    </row>
    <row r="119" spans="1:4" x14ac:dyDescent="0.2">
      <c r="A119" t="s">
        <v>79</v>
      </c>
      <c r="B119" t="str">
        <f>Relays!F17</f>
        <v>R-M-2-7</v>
      </c>
      <c r="C119" s="1">
        <f>Relays!I17</f>
        <v>-21.975938739861952</v>
      </c>
      <c r="D119" s="1">
        <f>Relays!J17</f>
        <v>40.763638410988712</v>
      </c>
    </row>
    <row r="120" spans="1:4" x14ac:dyDescent="0.2">
      <c r="A120" t="s">
        <v>79</v>
      </c>
      <c r="B120" t="str">
        <f>Relays!F18</f>
        <v>R-M-2-8</v>
      </c>
      <c r="C120" s="1">
        <f>Relays!I18</f>
        <v>-25.33193310499458</v>
      </c>
      <c r="D120" s="1">
        <f>Relays!J18</f>
        <v>40.216838080138508</v>
      </c>
    </row>
    <row r="121" spans="1:4" x14ac:dyDescent="0.2">
      <c r="A121" t="s">
        <v>79</v>
      </c>
      <c r="B121" t="str">
        <f>Relays!F19</f>
        <v>R-E-2-1</v>
      </c>
      <c r="C121" s="1">
        <f>Relays!I19</f>
        <v>-9.8413541938670139</v>
      </c>
      <c r="D121" s="1">
        <f>Relays!J19</f>
        <v>37.727547596297008</v>
      </c>
    </row>
    <row r="122" spans="1:4" x14ac:dyDescent="0.2">
      <c r="A122" t="s">
        <v>79</v>
      </c>
      <c r="B122" t="str">
        <f>Relays!F20</f>
        <v>R-E-2-2</v>
      </c>
      <c r="C122" s="1">
        <f>Relays!I20</f>
        <v>-13.497044173269423</v>
      </c>
      <c r="D122" s="1">
        <f>Relays!J20</f>
        <v>37.877089362632049</v>
      </c>
    </row>
    <row r="123" spans="1:4" x14ac:dyDescent="0.2">
      <c r="A123" t="s">
        <v>79</v>
      </c>
      <c r="B123" t="str">
        <f>Relays!F21</f>
        <v>R-E-2-3</v>
      </c>
      <c r="C123" s="1">
        <f>Relays!I21</f>
        <v>-17.057727163863781</v>
      </c>
      <c r="D123" s="1">
        <f>Relays!J21</f>
        <v>37.755514087391042</v>
      </c>
    </row>
    <row r="124" spans="1:4" x14ac:dyDescent="0.2">
      <c r="A124" t="s">
        <v>79</v>
      </c>
      <c r="B124" t="str">
        <f>Relays!F22</f>
        <v>R-E-2-4</v>
      </c>
      <c r="C124" s="1">
        <f>Relays!I22</f>
        <v>-20.511433971699137</v>
      </c>
      <c r="D124" s="1">
        <f>Relays!J22</f>
        <v>37.393897582688894</v>
      </c>
    </row>
    <row r="125" spans="1:4" x14ac:dyDescent="0.2">
      <c r="A125" t="s">
        <v>79</v>
      </c>
      <c r="B125" t="str">
        <f>Relays!F23</f>
        <v>R-E-2-5</v>
      </c>
      <c r="C125" s="1">
        <f>Relays!I23</f>
        <v>-23.85028117218069</v>
      </c>
      <c r="D125" s="1">
        <f>Relays!J23</f>
        <v>36.820388210988803</v>
      </c>
    </row>
    <row r="126" spans="1:4" x14ac:dyDescent="0.2">
      <c r="A126" t="s">
        <v>79</v>
      </c>
      <c r="B126" t="str">
        <f>Relays!F24</f>
        <v>R-E-2-6</v>
      </c>
      <c r="C126" s="1">
        <f>Relays!I24</f>
        <v>-27.069568388811131</v>
      </c>
      <c r="D126" s="1">
        <f>Relays!J24</f>
        <v>36.060318457321983</v>
      </c>
    </row>
    <row r="127" spans="1:4" x14ac:dyDescent="0.2">
      <c r="A127" t="s">
        <v>79</v>
      </c>
      <c r="B127" t="str">
        <f>Relays!F25</f>
        <v>R-E-2-7</v>
      </c>
      <c r="C127" s="1">
        <f>Relays!I25</f>
        <v>-30.167055223882393</v>
      </c>
      <c r="D127" s="1">
        <f>Relays!J25</f>
        <v>35.136375440833817</v>
      </c>
    </row>
    <row r="128" spans="1:4" x14ac:dyDescent="0.2">
      <c r="A128" t="s">
        <v>79</v>
      </c>
      <c r="B128" t="str">
        <f>Relays!F26</f>
        <v>R-E-2-8</v>
      </c>
      <c r="C128" s="1">
        <f>Relays!I26</f>
        <v>-33.142384580201252</v>
      </c>
      <c r="D128" s="1">
        <f>Relays!J26</f>
        <v>34.068801627560042</v>
      </c>
    </row>
    <row r="130" spans="1:4" x14ac:dyDescent="0.2">
      <c r="A130" t="s">
        <v>79</v>
      </c>
      <c r="B130" t="str">
        <f>Relays!K3</f>
        <v>R-S-3-1</v>
      </c>
      <c r="C130" s="1">
        <f>Relays!N3</f>
        <v>-34.750660304046811</v>
      </c>
      <c r="D130" s="1">
        <f>Relays!O3</f>
        <v>-17.680828838964125</v>
      </c>
    </row>
    <row r="131" spans="1:4" x14ac:dyDescent="0.2">
      <c r="A131" t="s">
        <v>79</v>
      </c>
      <c r="B131" t="str">
        <f>Relays!K4</f>
        <v>R-S-3-2</v>
      </c>
      <c r="C131" s="1">
        <f>Relays!N4</f>
        <v>-35.212733341798476</v>
      </c>
      <c r="D131" s="1">
        <f>Relays!O4</f>
        <v>-19.414105969613793</v>
      </c>
    </row>
    <row r="132" spans="1:4" x14ac:dyDescent="0.2">
      <c r="A132" t="s">
        <v>79</v>
      </c>
      <c r="B132" t="str">
        <f>Relays!K5</f>
        <v>R-S-3-3</v>
      </c>
      <c r="C132" s="1">
        <f>Relays!N5</f>
        <v>-35.638040377981334</v>
      </c>
      <c r="D132" s="1">
        <f>Relays!O5</f>
        <v>-21.127588078561455</v>
      </c>
    </row>
    <row r="133" spans="1:4" x14ac:dyDescent="0.2">
      <c r="A133" t="s">
        <v>79</v>
      </c>
      <c r="B133" t="str">
        <f>Relays!K6</f>
        <v>R-S-3-4</v>
      </c>
      <c r="C133" s="1">
        <f>Relays!N6</f>
        <v>-36.030300103031337</v>
      </c>
      <c r="D133" s="1">
        <f>Relays!O6</f>
        <v>-22.821918729272092</v>
      </c>
    </row>
    <row r="134" spans="1:4" x14ac:dyDescent="0.2">
      <c r="A134" t="s">
        <v>79</v>
      </c>
      <c r="B134" t="str">
        <f>Relays!K7</f>
        <v>R-S-3-5</v>
      </c>
      <c r="C134" s="1">
        <f>Relays!N7</f>
        <v>-36.392784580453586</v>
      </c>
      <c r="D134" s="1">
        <f>Relays!O7</f>
        <v>-24.497798482326925</v>
      </c>
    </row>
    <row r="135" spans="1:4" x14ac:dyDescent="0.2">
      <c r="A135" t="s">
        <v>79</v>
      </c>
      <c r="B135" t="str">
        <f>Relays!K8</f>
        <v>R-S-3-6</v>
      </c>
      <c r="C135" s="1">
        <f>Relays!N8</f>
        <v>-36.728380088366578</v>
      </c>
      <c r="D135" s="1">
        <f>Relays!O8</f>
        <v>-26.1559590931871</v>
      </c>
    </row>
    <row r="136" spans="1:4" x14ac:dyDescent="0.2">
      <c r="A136" t="s">
        <v>79</v>
      </c>
      <c r="B136" t="str">
        <f>Relays!K9</f>
        <v>R-S-3-7</v>
      </c>
      <c r="C136" s="1">
        <f>Relays!N9</f>
        <v>-37.039638900227978</v>
      </c>
      <c r="D136" s="1">
        <f>Relays!O9</f>
        <v>-27.797144640065426</v>
      </c>
    </row>
    <row r="137" spans="1:4" x14ac:dyDescent="0.2">
      <c r="A137" t="s">
        <v>79</v>
      </c>
      <c r="B137" t="str">
        <f>Relays!K10</f>
        <v>R-S-3-8</v>
      </c>
      <c r="C137" s="1">
        <f>Relays!N10</f>
        <v>-37.32882342666214</v>
      </c>
      <c r="D137" s="1">
        <f>Relays!O10</f>
        <v>-29.422097844665654</v>
      </c>
    </row>
    <row r="138" spans="1:4" x14ac:dyDescent="0.2">
      <c r="A138" t="s">
        <v>79</v>
      </c>
      <c r="B138" t="str">
        <f>Relays!K11</f>
        <v>R-M-3-1</v>
      </c>
      <c r="C138" s="1">
        <f>Relays!N11</f>
        <v>-21.686239608110263</v>
      </c>
      <c r="D138" s="1">
        <f>Relays!O11</f>
        <v>-32.402578781011087</v>
      </c>
    </row>
    <row r="139" spans="1:4" x14ac:dyDescent="0.2">
      <c r="A139" t="s">
        <v>79</v>
      </c>
      <c r="B139" t="str">
        <f>Relays!K12</f>
        <v>R-M-3-2</v>
      </c>
      <c r="C139" s="1">
        <f>Relays!N12</f>
        <v>-21.766256913179433</v>
      </c>
      <c r="D139" s="1">
        <f>Relays!O12</f>
        <v>-33.809379763454238</v>
      </c>
    </row>
    <row r="140" spans="1:4" x14ac:dyDescent="0.2">
      <c r="A140" t="s">
        <v>79</v>
      </c>
      <c r="B140" t="str">
        <f>Relays!K13</f>
        <v>R-M-3-3</v>
      </c>
      <c r="C140" s="1">
        <f>Relays!N13</f>
        <v>-21.839598422272562</v>
      </c>
      <c r="D140" s="1">
        <f>Relays!O13</f>
        <v>-35.20620457751545</v>
      </c>
    </row>
    <row r="141" spans="1:4" x14ac:dyDescent="0.2">
      <c r="A141" t="s">
        <v>79</v>
      </c>
      <c r="B141" t="str">
        <f>Relays!K14</f>
        <v>R-M-3-4</v>
      </c>
      <c r="C141" s="1">
        <f>Relays!N14</f>
        <v>-21.906987551445685</v>
      </c>
      <c r="D141" s="1">
        <f>Relays!O14</f>
        <v>-36.59380270511393</v>
      </c>
    </row>
    <row r="142" spans="1:4" x14ac:dyDescent="0.2">
      <c r="A142" t="s">
        <v>79</v>
      </c>
      <c r="B142" t="str">
        <f>Relays!K15</f>
        <v>R-M-3-5</v>
      </c>
      <c r="C142" s="1">
        <f>Relays!N15</f>
        <v>-21.969052566202699</v>
      </c>
      <c r="D142" s="1">
        <f>Relays!O15</f>
        <v>-37.972853847761066</v>
      </c>
    </row>
    <row r="143" spans="1:4" x14ac:dyDescent="0.2">
      <c r="A143" t="s">
        <v>79</v>
      </c>
      <c r="B143" t="str">
        <f>Relays!K16</f>
        <v>R-M-3-6</v>
      </c>
      <c r="C143" s="1">
        <f>Relays!N16</f>
        <v>-22.02634115564533</v>
      </c>
      <c r="D143" s="1">
        <f>Relays!O16</f>
        <v>-39.343975336703387</v>
      </c>
    </row>
    <row r="144" spans="1:4" x14ac:dyDescent="0.2">
      <c r="A144" t="s">
        <v>79</v>
      </c>
      <c r="B144" t="str">
        <f>Relays!K17</f>
        <v>R-M-3-7</v>
      </c>
      <c r="C144" s="1">
        <f>Relays!N17</f>
        <v>-22.079332479027823</v>
      </c>
      <c r="D144" s="1">
        <f>Relays!O17</f>
        <v>-40.707728716799551</v>
      </c>
    </row>
    <row r="145" spans="1:4" x14ac:dyDescent="0.2">
      <c r="A145" t="s">
        <v>79</v>
      </c>
      <c r="B145" t="str">
        <f>Relays!K18</f>
        <v>R-M-3-8</v>
      </c>
      <c r="C145" s="1">
        <f>Relays!N18</f>
        <v>-22.128447171071219</v>
      </c>
      <c r="D145" s="1">
        <f>Relays!O18</f>
        <v>-42.064625587268807</v>
      </c>
    </row>
    <row r="146" spans="1:4" x14ac:dyDescent="0.2">
      <c r="A146" t="s">
        <v>79</v>
      </c>
      <c r="B146" t="str">
        <f>Relays!K19</f>
        <v>R-E-3-1</v>
      </c>
      <c r="C146" s="1">
        <f>Relays!N19</f>
        <v>-12.805421452194713</v>
      </c>
      <c r="D146" s="1">
        <f>Relays!O19</f>
        <v>-36.827181285453705</v>
      </c>
    </row>
    <row r="147" spans="1:4" x14ac:dyDescent="0.2">
      <c r="A147" t="s">
        <v>79</v>
      </c>
      <c r="B147" t="str">
        <f>Relays!K20</f>
        <v>R-E-3-2</v>
      </c>
      <c r="C147" s="1">
        <f>Relays!N20</f>
        <v>-12.821731976860448</v>
      </c>
      <c r="D147" s="1">
        <f>Relays!O20</f>
        <v>-38.110986462089308</v>
      </c>
    </row>
    <row r="148" spans="1:4" x14ac:dyDescent="0.2">
      <c r="A148" t="s">
        <v>79</v>
      </c>
      <c r="B148" t="str">
        <f>Relays!K21</f>
        <v>R-E-3-3</v>
      </c>
      <c r="C148" s="1">
        <f>Relays!N21</f>
        <v>-12.836697553165397</v>
      </c>
      <c r="D148" s="1">
        <f>Relays!O21</f>
        <v>-39.391167740098254</v>
      </c>
    </row>
    <row r="149" spans="1:4" x14ac:dyDescent="0.2">
      <c r="A149" t="s">
        <v>79</v>
      </c>
      <c r="B149" t="str">
        <f>Relays!K22</f>
        <v>R-E-3-4</v>
      </c>
      <c r="C149" s="1">
        <f>Relays!N22</f>
        <v>-12.850464531180926</v>
      </c>
      <c r="D149" s="1">
        <f>Relays!O22</f>
        <v>-40.668022589411216</v>
      </c>
    </row>
    <row r="150" spans="1:4" x14ac:dyDescent="0.2">
      <c r="A150" t="s">
        <v>79</v>
      </c>
      <c r="B150" t="str">
        <f>Relays!K23</f>
        <v>R-E-3-5</v>
      </c>
      <c r="C150" s="1">
        <f>Relays!N23</f>
        <v>-12.863159766081568</v>
      </c>
      <c r="D150" s="1">
        <f>Relays!O23</f>
        <v>-41.941817090253259</v>
      </c>
    </row>
    <row r="151" spans="1:4" x14ac:dyDescent="0.2">
      <c r="A151" t="s">
        <v>79</v>
      </c>
      <c r="B151" t="str">
        <f>Relays!K24</f>
        <v>R-E-3-6</v>
      </c>
      <c r="C151" s="1">
        <f>Relays!N24</f>
        <v>-12.874893660407366</v>
      </c>
      <c r="D151" s="1">
        <f>Relays!O24</f>
        <v>-43.212789926515995</v>
      </c>
    </row>
    <row r="152" spans="1:4" x14ac:dyDescent="0.2">
      <c r="A152" t="s">
        <v>79</v>
      </c>
      <c r="B152" t="str">
        <f>Relays!K25</f>
        <v>R-E-3-7</v>
      </c>
      <c r="C152" s="1">
        <f>Relays!N25</f>
        <v>-12.885762666111875</v>
      </c>
      <c r="D152" s="1">
        <f>Relays!O25</f>
        <v>-44.481155791105934</v>
      </c>
    </row>
    <row r="153" spans="1:4" x14ac:dyDescent="0.2">
      <c r="A153" t="s">
        <v>79</v>
      </c>
      <c r="B153" t="str">
        <f>Relays!K26</f>
        <v>R-E-3-8</v>
      </c>
      <c r="C153" s="1">
        <f>Relays!N26</f>
        <v>-12.895851353303028</v>
      </c>
      <c r="D153" s="1">
        <f>Relays!O26</f>
        <v>-45.747108300673084</v>
      </c>
    </row>
    <row r="155" spans="1:4" x14ac:dyDescent="0.2">
      <c r="A155" t="s">
        <v>32</v>
      </c>
      <c r="B155" t="str">
        <f>Hurdles!A3</f>
        <v>H-1-1</v>
      </c>
      <c r="C155" s="1">
        <f>Hurdles!F3</f>
        <v>112.45160069813464</v>
      </c>
      <c r="D155" s="1">
        <f>Hurdles!G3</f>
        <v>-15.987265425532607</v>
      </c>
    </row>
    <row r="156" spans="1:4" x14ac:dyDescent="0.2">
      <c r="A156" t="s">
        <v>32</v>
      </c>
      <c r="B156" t="str">
        <f>Hurdles!A4</f>
        <v>H-1-2</v>
      </c>
      <c r="C156" s="1">
        <f>Hurdles!F4</f>
        <v>115.67026434970229</v>
      </c>
      <c r="D156" s="1">
        <f>Hurdles!G4</f>
        <v>-10.627097297343671</v>
      </c>
    </row>
    <row r="157" spans="1:4" x14ac:dyDescent="0.2">
      <c r="A157" t="s">
        <v>32</v>
      </c>
      <c r="B157" t="str">
        <f>Hurdles!A5</f>
        <v>H-1-3</v>
      </c>
      <c r="C157" s="1">
        <f>Hurdles!F5</f>
        <v>118.01443059654743</v>
      </c>
      <c r="D157" s="1">
        <f>Hurdles!G5</f>
        <v>-5.0225599159944521</v>
      </c>
    </row>
    <row r="158" spans="1:4" x14ac:dyDescent="0.2">
      <c r="A158" t="s">
        <v>32</v>
      </c>
      <c r="B158" t="str">
        <f>Hurdles!A6</f>
        <v>H-1-4</v>
      </c>
      <c r="C158" s="1">
        <f>Hurdles!F6</f>
        <v>119.53447279877051</v>
      </c>
      <c r="D158" s="1">
        <f>Hurdles!G6</f>
        <v>0.68661467718237112</v>
      </c>
    </row>
    <row r="159" spans="1:4" x14ac:dyDescent="0.2">
      <c r="A159" t="s">
        <v>32</v>
      </c>
      <c r="B159" t="str">
        <f>Hurdles!A7</f>
        <v>H-1-5</v>
      </c>
      <c r="C159" s="1">
        <f>Hurdles!F7</f>
        <v>120.29257407398225</v>
      </c>
      <c r="D159" s="1">
        <f>Hurdles!G7</f>
        <v>6.386976103954316</v>
      </c>
    </row>
    <row r="160" spans="1:4" x14ac:dyDescent="0.2">
      <c r="A160" t="s">
        <v>32</v>
      </c>
      <c r="B160" t="str">
        <f>Hurdles!A8</f>
        <v>H-1-6</v>
      </c>
      <c r="C160" s="1">
        <f>Hurdles!F8</f>
        <v>120.35708960898624</v>
      </c>
      <c r="D160" s="1">
        <f>Hurdles!G8</f>
        <v>11.98833687065725</v>
      </c>
    </row>
    <row r="161" spans="1:4" x14ac:dyDescent="0.2">
      <c r="A161" t="s">
        <v>32</v>
      </c>
      <c r="B161" t="str">
        <f>Hurdles!A9</f>
        <v>H-1-7</v>
      </c>
      <c r="C161" s="1">
        <f>Hurdles!F9</f>
        <v>119.79848683553425</v>
      </c>
      <c r="D161" s="1">
        <f>Hurdles!G9</f>
        <v>17.420615875587853</v>
      </c>
    </row>
    <row r="162" spans="1:4" x14ac:dyDescent="0.2">
      <c r="A162" t="s">
        <v>32</v>
      </c>
      <c r="B162" t="str">
        <f>Hurdles!A10</f>
        <v>H-1-8</v>
      </c>
      <c r="C162" s="1">
        <f>Hurdles!F10</f>
        <v>118.68651032493372</v>
      </c>
      <c r="D162" s="1">
        <f>Hurdles!G10</f>
        <v>22.630789306997389</v>
      </c>
    </row>
    <row r="163" spans="1:4" x14ac:dyDescent="0.2">
      <c r="C163" s="1"/>
      <c r="D163" s="1"/>
    </row>
    <row r="164" spans="1:4" x14ac:dyDescent="0.2">
      <c r="A164" t="s">
        <v>32</v>
      </c>
      <c r="B164" t="str">
        <f>Hurdles!A12</f>
        <v>H-2-2</v>
      </c>
      <c r="C164" s="1">
        <f>Hurdles!F12</f>
        <v>110.10637504775183</v>
      </c>
      <c r="D164" s="1">
        <f>Hurdles!G12</f>
        <v>22.660903086309023</v>
      </c>
    </row>
    <row r="165" spans="1:4" x14ac:dyDescent="0.2">
      <c r="A165" t="s">
        <v>32</v>
      </c>
      <c r="B165" t="str">
        <f>Hurdles!A13</f>
        <v>H-2-3</v>
      </c>
      <c r="C165" s="1">
        <f>Hurdles!F13</f>
        <v>108.05782410739477</v>
      </c>
      <c r="D165" s="1">
        <f>Hurdles!G13</f>
        <v>27.294901362901133</v>
      </c>
    </row>
    <row r="166" spans="1:4" x14ac:dyDescent="0.2">
      <c r="A166" t="s">
        <v>32</v>
      </c>
      <c r="B166" t="str">
        <f>Hurdles!A14</f>
        <v>H-2-4</v>
      </c>
      <c r="C166" s="1">
        <f>Hurdles!F14</f>
        <v>105.58082415722299</v>
      </c>
      <c r="D166" s="1">
        <f>Hurdles!G14</f>
        <v>31.557235448931664</v>
      </c>
    </row>
    <row r="167" spans="1:4" x14ac:dyDescent="0.2">
      <c r="A167" t="s">
        <v>32</v>
      </c>
      <c r="B167" t="str">
        <f>Hurdles!A15</f>
        <v>H-2-5</v>
      </c>
      <c r="C167" s="1">
        <f>Hurdles!F15</f>
        <v>102.75213646530401</v>
      </c>
      <c r="D167" s="1">
        <f>Hurdles!G15</f>
        <v>35.43623565575205</v>
      </c>
    </row>
    <row r="168" spans="1:4" x14ac:dyDescent="0.2">
      <c r="A168" t="s">
        <v>32</v>
      </c>
      <c r="B168" t="str">
        <f>Hurdles!A16</f>
        <v>H-2-6</v>
      </c>
      <c r="C168" s="1">
        <f>Hurdles!F16</f>
        <v>99.639810746204745</v>
      </c>
      <c r="D168" s="1">
        <f>Hurdles!G16</f>
        <v>38.93011958640593</v>
      </c>
    </row>
    <row r="169" spans="1:4" x14ac:dyDescent="0.2">
      <c r="A169" t="s">
        <v>32</v>
      </c>
      <c r="B169" t="str">
        <f>Hurdles!A17</f>
        <v>H-2-7</v>
      </c>
      <c r="C169" s="1">
        <f>Hurdles!F17</f>
        <v>96.303514230980596</v>
      </c>
      <c r="D169" s="1">
        <f>Hurdles!G17</f>
        <v>42.044399926785893</v>
      </c>
    </row>
    <row r="170" spans="1:4" x14ac:dyDescent="0.2">
      <c r="A170" t="s">
        <v>32</v>
      </c>
      <c r="B170" t="str">
        <f>Hurdles!A18</f>
        <v>H-2-8</v>
      </c>
      <c r="C170" s="1">
        <f>Hurdles!F18</f>
        <v>92.795088300396159</v>
      </c>
      <c r="D170" s="1">
        <f>Hurdles!G18</f>
        <v>44.789832173793648</v>
      </c>
    </row>
    <row r="171" spans="1:4" x14ac:dyDescent="0.2">
      <c r="A171" t="s">
        <v>32</v>
      </c>
      <c r="B171" t="str">
        <f>Hurdles!A19</f>
        <v>H-3-1</v>
      </c>
      <c r="C171" s="1">
        <f>Hurdles!F19</f>
        <v>84.904877087117455</v>
      </c>
      <c r="D171" s="1">
        <f>Hurdles!G19</f>
        <v>38.157330164444154</v>
      </c>
    </row>
    <row r="172" spans="1:4" x14ac:dyDescent="0.2">
      <c r="C172" s="1"/>
      <c r="D172" s="1"/>
    </row>
    <row r="173" spans="1:4" x14ac:dyDescent="0.2">
      <c r="A173" t="s">
        <v>32</v>
      </c>
      <c r="B173" t="str">
        <f>Hurdles!A21</f>
        <v>H-3-3</v>
      </c>
      <c r="C173" s="1">
        <f>Hurdles!F21</f>
        <v>77.336183184677466</v>
      </c>
      <c r="D173" s="1">
        <f>Hurdles!G21</f>
        <v>41.42759733035107</v>
      </c>
    </row>
    <row r="174" spans="1:4" x14ac:dyDescent="0.2">
      <c r="A174" t="s">
        <v>32</v>
      </c>
      <c r="B174" t="str">
        <f>Hurdles!A22</f>
        <v>H-3-4</v>
      </c>
      <c r="C174" s="1">
        <f>Hurdles!F22</f>
        <v>73.505602727889539</v>
      </c>
      <c r="D174" s="1">
        <f>Hurdles!G22</f>
        <v>42.65</v>
      </c>
    </row>
    <row r="175" spans="1:4" x14ac:dyDescent="0.2">
      <c r="A175" t="s">
        <v>32</v>
      </c>
      <c r="B175" t="str">
        <f>Hurdles!A23</f>
        <v>H-3-5</v>
      </c>
      <c r="C175" s="1">
        <f>Hurdles!F23</f>
        <v>69.672859690509995</v>
      </c>
      <c r="D175" s="1">
        <f>Hurdles!G23</f>
        <v>43.87</v>
      </c>
    </row>
    <row r="176" spans="1:4" x14ac:dyDescent="0.2">
      <c r="A176" t="s">
        <v>32</v>
      </c>
      <c r="B176" t="str">
        <f>Hurdles!A24</f>
        <v>H-3-6</v>
      </c>
      <c r="C176" s="1">
        <f>Hurdles!F24</f>
        <v>65.840116653130451</v>
      </c>
      <c r="D176" s="1">
        <f>Hurdles!G24</f>
        <v>45.089999999999996</v>
      </c>
    </row>
    <row r="177" spans="1:4" x14ac:dyDescent="0.2">
      <c r="A177" t="s">
        <v>32</v>
      </c>
      <c r="B177" t="str">
        <f>Hurdles!A25</f>
        <v>H-3-7</v>
      </c>
      <c r="C177" s="1">
        <f>Hurdles!F25</f>
        <v>62.0073736157509</v>
      </c>
      <c r="D177" s="1">
        <f>Hurdles!G25</f>
        <v>46.309999999999995</v>
      </c>
    </row>
    <row r="178" spans="1:4" x14ac:dyDescent="0.2">
      <c r="A178" t="s">
        <v>32</v>
      </c>
      <c r="B178" t="str">
        <f>Hurdles!A26</f>
        <v>H-3-8</v>
      </c>
      <c r="C178" s="1">
        <f>Hurdles!F26</f>
        <v>58.174630578371357</v>
      </c>
      <c r="D178" s="1">
        <f>Hurdles!G26</f>
        <v>47.529999999999994</v>
      </c>
    </row>
    <row r="179" spans="1:4" x14ac:dyDescent="0.2">
      <c r="A179" t="s">
        <v>32</v>
      </c>
      <c r="B179" t="str">
        <f>Hurdles!A27</f>
        <v>H-4-1</v>
      </c>
      <c r="C179" s="1">
        <f>Hurdles!F27</f>
        <v>50.00225402354598</v>
      </c>
      <c r="D179" s="1">
        <f>Hurdles!G27</f>
        <v>38.99</v>
      </c>
    </row>
    <row r="180" spans="1:4" x14ac:dyDescent="0.2">
      <c r="A180" t="s">
        <v>32</v>
      </c>
      <c r="B180" t="str">
        <f>Hurdles!A28</f>
        <v>H-4-2</v>
      </c>
      <c r="C180" s="1">
        <f>Hurdles!F28</f>
        <v>46.169510986166436</v>
      </c>
      <c r="D180" s="1">
        <f>Hurdles!G28</f>
        <v>40.21</v>
      </c>
    </row>
    <row r="181" spans="1:4" x14ac:dyDescent="0.2">
      <c r="C181" s="1"/>
      <c r="D181" s="1"/>
    </row>
    <row r="182" spans="1:4" x14ac:dyDescent="0.2">
      <c r="A182" t="s">
        <v>32</v>
      </c>
      <c r="B182" t="str">
        <f>Hurdles!A27</f>
        <v>H-4-1</v>
      </c>
      <c r="C182" s="1">
        <f>Hurdles!F27</f>
        <v>50.00225402354598</v>
      </c>
      <c r="D182" s="1">
        <f>Hurdles!G27</f>
        <v>38.99</v>
      </c>
    </row>
    <row r="183" spans="1:4" x14ac:dyDescent="0.2">
      <c r="A183" t="s">
        <v>32</v>
      </c>
      <c r="B183" t="str">
        <f>Hurdles!A28</f>
        <v>H-4-2</v>
      </c>
      <c r="C183" s="1">
        <f>Hurdles!F28</f>
        <v>46.169510986166436</v>
      </c>
      <c r="D183" s="1">
        <f>Hurdles!G28</f>
        <v>40.21</v>
      </c>
    </row>
    <row r="184" spans="1:4" x14ac:dyDescent="0.2">
      <c r="A184" t="s">
        <v>32</v>
      </c>
      <c r="B184" t="str">
        <f>Hurdles!A29</f>
        <v>H-4-3</v>
      </c>
      <c r="C184" s="1">
        <f>Hurdles!F29</f>
        <v>42.336767948786893</v>
      </c>
      <c r="D184" s="1">
        <f>Hurdles!G29</f>
        <v>41.43</v>
      </c>
    </row>
    <row r="185" spans="1:4" x14ac:dyDescent="0.2">
      <c r="A185" t="s">
        <v>32</v>
      </c>
      <c r="B185" t="str">
        <f>Hurdles!A30</f>
        <v>H-4-4</v>
      </c>
      <c r="C185" s="1">
        <f>Hurdles!F30</f>
        <v>38.504024911407349</v>
      </c>
      <c r="D185" s="1">
        <f>Hurdles!G30</f>
        <v>42.65</v>
      </c>
    </row>
    <row r="186" spans="1:4" x14ac:dyDescent="0.2">
      <c r="A186" t="s">
        <v>32</v>
      </c>
      <c r="B186" t="str">
        <f>Hurdles!A31</f>
        <v>H-4-5</v>
      </c>
      <c r="C186" s="1">
        <f>Hurdles!F31</f>
        <v>34.671281874027805</v>
      </c>
      <c r="D186" s="1">
        <f>Hurdles!G31</f>
        <v>43.87</v>
      </c>
    </row>
    <row r="187" spans="1:4" x14ac:dyDescent="0.2">
      <c r="A187" t="s">
        <v>32</v>
      </c>
      <c r="B187" t="str">
        <f>Hurdles!A32</f>
        <v>H-4-6</v>
      </c>
      <c r="C187" s="1">
        <f>Hurdles!F32</f>
        <v>30.838538836648262</v>
      </c>
      <c r="D187" s="1">
        <f>Hurdles!G32</f>
        <v>45.089999999999996</v>
      </c>
    </row>
    <row r="188" spans="1:4" x14ac:dyDescent="0.2">
      <c r="A188" t="s">
        <v>32</v>
      </c>
      <c r="B188" t="str">
        <f>Hurdles!A33</f>
        <v>H-4-7</v>
      </c>
      <c r="C188" s="1">
        <f>Hurdles!F33</f>
        <v>27.005795799268721</v>
      </c>
      <c r="D188" s="1">
        <f>Hurdles!G33</f>
        <v>46.309999999999995</v>
      </c>
    </row>
    <row r="189" spans="1:4" x14ac:dyDescent="0.2">
      <c r="A189" t="s">
        <v>32</v>
      </c>
      <c r="B189" t="str">
        <f>Hurdles!A34</f>
        <v>H-4-8</v>
      </c>
      <c r="C189" s="1">
        <f>Hurdles!F34</f>
        <v>23.173052761889174</v>
      </c>
      <c r="D189" s="1">
        <f>Hurdles!G34</f>
        <v>47.529999999999994</v>
      </c>
    </row>
    <row r="190" spans="1:4" x14ac:dyDescent="0.2">
      <c r="C190" s="1"/>
      <c r="D190" s="1"/>
    </row>
    <row r="191" spans="1:4" x14ac:dyDescent="0.2">
      <c r="A191" t="s">
        <v>32</v>
      </c>
      <c r="B191" t="str">
        <f>Hurdles!A35</f>
        <v>H-5-1</v>
      </c>
      <c r="C191" s="1">
        <f>Hurdles!F35</f>
        <v>15.000676207063799</v>
      </c>
      <c r="D191" s="1">
        <f>Hurdles!G35</f>
        <v>38.99</v>
      </c>
    </row>
    <row r="192" spans="1:4" x14ac:dyDescent="0.2">
      <c r="A192" t="s">
        <v>32</v>
      </c>
      <c r="B192" t="str">
        <f>Hurdles!A36</f>
        <v>H-5-2</v>
      </c>
      <c r="C192" s="1">
        <f>Hurdles!F36</f>
        <v>11.167933169684254</v>
      </c>
      <c r="D192" s="1">
        <f>Hurdles!G36</f>
        <v>40.21</v>
      </c>
    </row>
    <row r="193" spans="1:4" x14ac:dyDescent="0.2">
      <c r="A193" t="s">
        <v>32</v>
      </c>
      <c r="B193" t="str">
        <f>Hurdles!A37</f>
        <v>H-5-3</v>
      </c>
      <c r="C193" s="1">
        <f>Hurdles!F37</f>
        <v>7.3351901323047128</v>
      </c>
      <c r="D193" s="1">
        <f>Hurdles!G37</f>
        <v>41.43</v>
      </c>
    </row>
    <row r="194" spans="1:4" x14ac:dyDescent="0.2">
      <c r="A194" t="s">
        <v>32</v>
      </c>
      <c r="B194" t="str">
        <f>Hurdles!A38</f>
        <v>H-5-4</v>
      </c>
      <c r="C194" s="1">
        <f>Hurdles!F38</f>
        <v>3.5024470949251687</v>
      </c>
      <c r="D194" s="1">
        <f>Hurdles!G38</f>
        <v>42.65</v>
      </c>
    </row>
    <row r="195" spans="1:4" x14ac:dyDescent="0.2">
      <c r="A195" t="s">
        <v>32</v>
      </c>
      <c r="B195" t="str">
        <f>Hurdles!A39</f>
        <v>H-5-5</v>
      </c>
      <c r="C195" s="1">
        <f>Hurdles!F39</f>
        <v>-0.32879390377910445</v>
      </c>
      <c r="D195" s="1">
        <f>Hurdles!G39</f>
        <v>43.868767871560259</v>
      </c>
    </row>
    <row r="196" spans="1:4" x14ac:dyDescent="0.2">
      <c r="A196" t="s">
        <v>32</v>
      </c>
      <c r="B196" t="str">
        <f>Hurdles!A40</f>
        <v>H-5-6</v>
      </c>
      <c r="C196" s="1">
        <f>Hurdles!F40</f>
        <v>-4.1388210107597319</v>
      </c>
      <c r="D196" s="1">
        <f>Hurdles!G40</f>
        <v>44.899646553629943</v>
      </c>
    </row>
    <row r="197" spans="1:4" x14ac:dyDescent="0.2">
      <c r="A197" t="s">
        <v>32</v>
      </c>
      <c r="B197" t="str">
        <f>Hurdles!A41</f>
        <v>H-5-7</v>
      </c>
      <c r="C197" s="1">
        <f>Hurdles!F41</f>
        <v>-7.9222404959151698</v>
      </c>
      <c r="D197" s="1">
        <f>Hurdles!G41</f>
        <v>45.627340548457141</v>
      </c>
    </row>
    <row r="198" spans="1:4" x14ac:dyDescent="0.2">
      <c r="A198" t="s">
        <v>32</v>
      </c>
      <c r="B198" t="str">
        <f>Hurdles!A42</f>
        <v>H-5-8</v>
      </c>
      <c r="C198" s="1">
        <f>Hurdles!F42</f>
        <v>-11.658761881032641</v>
      </c>
      <c r="D198" s="1">
        <f>Hurdles!G42</f>
        <v>46.077914139003511</v>
      </c>
    </row>
    <row r="199" spans="1:4" x14ac:dyDescent="0.2">
      <c r="C199" s="1"/>
      <c r="D199" s="1"/>
    </row>
    <row r="200" spans="1:4" x14ac:dyDescent="0.2">
      <c r="A200" t="s">
        <v>32</v>
      </c>
      <c r="B200" t="str">
        <f>Hurdles!A43</f>
        <v>H-6-1</v>
      </c>
      <c r="C200" s="1">
        <f>Hurdles!F43</f>
        <v>-19.046187106651736</v>
      </c>
      <c r="D200" s="1">
        <f>Hurdles!G43</f>
        <v>34.021505797045691</v>
      </c>
    </row>
    <row r="201" spans="1:4" x14ac:dyDescent="0.2">
      <c r="A201" t="s">
        <v>32</v>
      </c>
      <c r="B201" t="str">
        <f>Hurdles!A44</f>
        <v>H-6-2</v>
      </c>
      <c r="C201" s="1">
        <f>Hurdles!F44</f>
        <v>-22.36445050630012</v>
      </c>
      <c r="D201" s="1">
        <f>Hurdles!G44</f>
        <v>33.416694234338202</v>
      </c>
    </row>
    <row r="202" spans="1:4" x14ac:dyDescent="0.2">
      <c r="A202" t="s">
        <v>32</v>
      </c>
      <c r="B202" t="str">
        <f>Hurdles!A45</f>
        <v>H-6-3</v>
      </c>
      <c r="C202" s="1">
        <f>Hurdles!F45</f>
        <v>-25.5510039081421</v>
      </c>
      <c r="D202" s="1">
        <f>Hurdles!G45</f>
        <v>32.612744430453979</v>
      </c>
    </row>
    <row r="203" spans="1:4" x14ac:dyDescent="0.2">
      <c r="A203" t="s">
        <v>32</v>
      </c>
      <c r="B203" t="str">
        <f>Hurdles!A46</f>
        <v>H-6-4</v>
      </c>
      <c r="C203" s="1">
        <f>Hurdles!F46</f>
        <v>-28.60377662441444</v>
      </c>
      <c r="D203" s="1">
        <f>Hurdles!G46</f>
        <v>31.636157523008414</v>
      </c>
    </row>
    <row r="204" spans="1:4" x14ac:dyDescent="0.2">
      <c r="A204" t="s">
        <v>32</v>
      </c>
      <c r="B204" t="str">
        <f>Hurdles!A47</f>
        <v>H-6-5</v>
      </c>
      <c r="C204" s="1">
        <f>Hurdles!F47</f>
        <v>-31.522986898456178</v>
      </c>
      <c r="D204" s="1">
        <f>Hurdles!G47</f>
        <v>30.51029657344812</v>
      </c>
    </row>
    <row r="205" spans="1:4" x14ac:dyDescent="0.2">
      <c r="A205" t="s">
        <v>32</v>
      </c>
      <c r="B205" t="str">
        <f>Hurdles!A48</f>
        <v>H-6-6</v>
      </c>
      <c r="C205" s="1">
        <f>Hurdles!F48</f>
        <v>-34.310530251320579</v>
      </c>
      <c r="D205" s="1">
        <f>Hurdles!G48</f>
        <v>29.255693700085377</v>
      </c>
    </row>
    <row r="206" spans="1:4" x14ac:dyDescent="0.2">
      <c r="A206" t="s">
        <v>32</v>
      </c>
      <c r="B206" t="str">
        <f>Hurdles!A49</f>
        <v>H-6-7</v>
      </c>
      <c r="C206" s="1">
        <f>Hurdles!F49</f>
        <v>-36.96950673449124</v>
      </c>
      <c r="D206" s="1">
        <f>Hurdles!G49</f>
        <v>27.890350872809151</v>
      </c>
    </row>
    <row r="207" spans="1:4" x14ac:dyDescent="0.2">
      <c r="A207" t="s">
        <v>32</v>
      </c>
      <c r="B207" t="str">
        <f>Hurdles!A50</f>
        <v>H-6-8</v>
      </c>
      <c r="C207" s="1">
        <f>Hurdles!F50</f>
        <v>-39.503857141138973</v>
      </c>
      <c r="D207" s="1">
        <f>Hurdles!G50</f>
        <v>26.430024044114734</v>
      </c>
    </row>
    <row r="208" spans="1:4" x14ac:dyDescent="0.2">
      <c r="C208" s="1"/>
      <c r="D208" s="1"/>
    </row>
    <row r="209" spans="1:4" x14ac:dyDescent="0.2">
      <c r="A209" t="s">
        <v>32</v>
      </c>
      <c r="B209" t="str">
        <f>Hurdles!A51</f>
        <v>H-7-1</v>
      </c>
      <c r="C209" s="1">
        <f>Hurdles!F51</f>
        <v>-38.445530569292728</v>
      </c>
      <c r="D209" s="1">
        <f>Hurdles!G51</f>
        <v>6.4931717400341897</v>
      </c>
    </row>
    <row r="210" spans="1:4" x14ac:dyDescent="0.2">
      <c r="A210" t="s">
        <v>32</v>
      </c>
      <c r="B210" t="str">
        <f>Hurdles!A52</f>
        <v>H-7-2</v>
      </c>
      <c r="C210" s="1">
        <f>Hurdles!F52</f>
        <v>-39.945145112746069</v>
      </c>
      <c r="D210" s="1">
        <f>Hurdles!G52</f>
        <v>4.6075461931117792</v>
      </c>
    </row>
    <row r="211" spans="1:4" x14ac:dyDescent="0.2">
      <c r="A211" t="s">
        <v>32</v>
      </c>
      <c r="B211" t="str">
        <f>Hurdles!A53</f>
        <v>H-7-3</v>
      </c>
      <c r="C211" s="1">
        <f>Hurdles!F53</f>
        <v>-41.34132067316807</v>
      </c>
      <c r="D211" s="1">
        <f>Hurdles!G53</f>
        <v>2.7092628145468716</v>
      </c>
    </row>
    <row r="212" spans="1:4" x14ac:dyDescent="0.2">
      <c r="A212" t="s">
        <v>32</v>
      </c>
      <c r="B212" t="str">
        <f>Hurdles!A54</f>
        <v>H-7-4</v>
      </c>
      <c r="C212" s="1">
        <f>Hurdles!F54</f>
        <v>-42.642419377687176</v>
      </c>
      <c r="D212" s="1">
        <f>Hurdles!G54</f>
        <v>0.80409552756439973</v>
      </c>
    </row>
    <row r="213" spans="1:4" x14ac:dyDescent="0.2">
      <c r="A213" t="s">
        <v>32</v>
      </c>
      <c r="B213" t="str">
        <f>Hurdles!A55</f>
        <v>H-7-5</v>
      </c>
      <c r="C213" s="1">
        <f>Hurdles!F55</f>
        <v>-43.856123923102061</v>
      </c>
      <c r="D213" s="1">
        <f>Hurdles!G55</f>
        <v>-1.1033106731625659</v>
      </c>
    </row>
    <row r="214" spans="1:4" x14ac:dyDescent="0.2">
      <c r="A214" t="s">
        <v>32</v>
      </c>
      <c r="B214" t="str">
        <f>Hurdles!A56</f>
        <v>H-7-6</v>
      </c>
      <c r="C214" s="1">
        <f>Hurdles!F56</f>
        <v>-44.989472286508523</v>
      </c>
      <c r="D214" s="1">
        <f>Hurdles!G56</f>
        <v>-3.0092330221305645</v>
      </c>
    </row>
    <row r="215" spans="1:4" x14ac:dyDescent="0.2">
      <c r="A215" t="s">
        <v>32</v>
      </c>
      <c r="B215" t="str">
        <f>Hurdles!A57</f>
        <v>H-7-7</v>
      </c>
      <c r="C215" s="1">
        <f>Hurdles!F57</f>
        <v>-46.048898999844305</v>
      </c>
      <c r="D215" s="1">
        <f>Hurdles!G57</f>
        <v>-4.9107026892429104</v>
      </c>
    </row>
    <row r="216" spans="1:4" x14ac:dyDescent="0.2">
      <c r="A216" t="s">
        <v>32</v>
      </c>
      <c r="B216" t="str">
        <f>Hurdles!A58</f>
        <v>H-7-8</v>
      </c>
      <c r="C216" s="1">
        <f>Hurdles!F58</f>
        <v>-47.04027925063054</v>
      </c>
      <c r="D216" s="1">
        <f>Hurdles!G58</f>
        <v>-6.8053675890944527</v>
      </c>
    </row>
    <row r="217" spans="1:4" x14ac:dyDescent="0.2">
      <c r="C217" s="1"/>
      <c r="D217" s="1"/>
    </row>
    <row r="218" spans="1:4" x14ac:dyDescent="0.2">
      <c r="A218" t="s">
        <v>32</v>
      </c>
      <c r="B218" t="str">
        <f>Hurdles!A59</f>
        <v>H-8-1</v>
      </c>
      <c r="C218" s="1">
        <f>Hurdles!F59</f>
        <v>-29.163003299198994</v>
      </c>
      <c r="D218" s="1">
        <f>Hurdles!G59</f>
        <v>-25.879322606492405</v>
      </c>
    </row>
    <row r="219" spans="1:4" x14ac:dyDescent="0.2">
      <c r="A219" t="s">
        <v>32</v>
      </c>
      <c r="B219" t="str">
        <f>Hurdles!A60</f>
        <v>H-8-2</v>
      </c>
      <c r="C219" s="1">
        <f>Hurdles!F60</f>
        <v>-29.38495031138708</v>
      </c>
      <c r="D219" s="1">
        <f>Hurdles!G60</f>
        <v>-27.447564467495329</v>
      </c>
    </row>
    <row r="220" spans="1:4" x14ac:dyDescent="0.2">
      <c r="A220" t="s">
        <v>32</v>
      </c>
      <c r="B220" t="str">
        <f>Hurdles!A61</f>
        <v>H-8-3</v>
      </c>
      <c r="C220" s="1">
        <f>Hurdles!F61</f>
        <v>-29.588683385662058</v>
      </c>
      <c r="D220" s="1">
        <f>Hurdles!G61</f>
        <v>-28.999219222300557</v>
      </c>
    </row>
    <row r="221" spans="1:4" x14ac:dyDescent="0.2">
      <c r="A221" t="s">
        <v>32</v>
      </c>
      <c r="B221" t="str">
        <f>Hurdles!A62</f>
        <v>H-8-4</v>
      </c>
      <c r="C221" s="1">
        <f>Hurdles!F62</f>
        <v>-29.776125558281276</v>
      </c>
      <c r="D221" s="1">
        <f>Hurdles!G62</f>
        <v>-30.535304922948917</v>
      </c>
    </row>
    <row r="222" spans="1:4" x14ac:dyDescent="0.2">
      <c r="A222" t="s">
        <v>32</v>
      </c>
      <c r="B222" t="str">
        <f>Hurdles!A63</f>
        <v>H-8-5</v>
      </c>
      <c r="C222" s="1">
        <f>Hurdles!F63</f>
        <v>-29.948955401614509</v>
      </c>
      <c r="D222" s="1">
        <f>Hurdles!G63</f>
        <v>-32.056777292050192</v>
      </c>
    </row>
    <row r="223" spans="1:4" x14ac:dyDescent="0.2">
      <c r="A223" t="s">
        <v>32</v>
      </c>
      <c r="B223" t="str">
        <f>Hurdles!A64</f>
        <v>H-8-6</v>
      </c>
      <c r="C223" s="1">
        <f>Hurdles!F64</f>
        <v>-30.108642917705101</v>
      </c>
      <c r="D223" s="1">
        <f>Hurdles!G64</f>
        <v>-33.564530708087162</v>
      </c>
    </row>
    <row r="224" spans="1:4" x14ac:dyDescent="0.2">
      <c r="A224" t="s">
        <v>32</v>
      </c>
      <c r="B224" t="str">
        <f>Hurdles!A65</f>
        <v>H-8-7</v>
      </c>
      <c r="C224" s="1">
        <f>Hurdles!F65</f>
        <v>-30.256479519418686</v>
      </c>
      <c r="D224" s="1">
        <f>Hurdles!G65</f>
        <v>-35.059400267132311</v>
      </c>
    </row>
    <row r="225" spans="1:4" x14ac:dyDescent="0.2">
      <c r="A225" t="s">
        <v>32</v>
      </c>
      <c r="B225" t="str">
        <f>Hurdles!A66</f>
        <v>H-8-8</v>
      </c>
      <c r="C225" s="1">
        <f>Hurdles!F66</f>
        <v>-30.393603167924773</v>
      </c>
      <c r="D225" s="1">
        <f>Hurdles!G66</f>
        <v>-36.542164501719277</v>
      </c>
    </row>
    <row r="226" spans="1:4" x14ac:dyDescent="0.2">
      <c r="C226" s="1"/>
      <c r="D226" s="1"/>
    </row>
    <row r="227" spans="1:4" x14ac:dyDescent="0.2">
      <c r="A227" t="s">
        <v>32</v>
      </c>
      <c r="B227" t="str">
        <f>Hurdles!A67</f>
        <v>H-9-1</v>
      </c>
      <c r="C227" s="1">
        <f>Hurdles!F67</f>
        <v>1.8866189646810057</v>
      </c>
      <c r="D227" s="1">
        <f>Hurdles!G67</f>
        <v>-38.99</v>
      </c>
    </row>
    <row r="228" spans="1:4" x14ac:dyDescent="0.2">
      <c r="A228" t="s">
        <v>32</v>
      </c>
      <c r="B228" t="str">
        <f>Hurdles!A68</f>
        <v>H-9-2</v>
      </c>
      <c r="C228" s="1">
        <f>Hurdles!F68</f>
        <v>1.8866189646810057</v>
      </c>
      <c r="D228" s="1">
        <f>Hurdles!G68</f>
        <v>-40.21</v>
      </c>
    </row>
    <row r="229" spans="1:4" x14ac:dyDescent="0.2">
      <c r="A229" t="s">
        <v>32</v>
      </c>
      <c r="B229" t="str">
        <f>Hurdles!A69</f>
        <v>H-9-3</v>
      </c>
      <c r="C229" s="1">
        <f>Hurdles!F69</f>
        <v>1.8866189646810057</v>
      </c>
      <c r="D229" s="1">
        <f>Hurdles!G69</f>
        <v>-41.43</v>
      </c>
    </row>
    <row r="230" spans="1:4" x14ac:dyDescent="0.2">
      <c r="A230" t="s">
        <v>32</v>
      </c>
      <c r="B230" t="str">
        <f>Hurdles!A70</f>
        <v>H-9-4</v>
      </c>
      <c r="C230" s="1">
        <f>Hurdles!F70</f>
        <v>1.8866189646810057</v>
      </c>
      <c r="D230" s="1">
        <f>Hurdles!G70</f>
        <v>-42.65</v>
      </c>
    </row>
    <row r="231" spans="1:4" x14ac:dyDescent="0.2">
      <c r="A231" t="s">
        <v>32</v>
      </c>
      <c r="B231" t="str">
        <f>Hurdles!A71</f>
        <v>H-9-5</v>
      </c>
      <c r="C231" s="1">
        <f>Hurdles!F71</f>
        <v>1.8866189646810057</v>
      </c>
      <c r="D231" s="1">
        <f>Hurdles!G71</f>
        <v>-43.87</v>
      </c>
    </row>
    <row r="232" spans="1:4" x14ac:dyDescent="0.2">
      <c r="A232" t="s">
        <v>32</v>
      </c>
      <c r="B232" t="str">
        <f>Hurdles!A72</f>
        <v>H-9-6</v>
      </c>
      <c r="C232" s="1">
        <f>Hurdles!F72</f>
        <v>1.8866189646810057</v>
      </c>
      <c r="D232" s="1">
        <f>Hurdles!G72</f>
        <v>-45.089999999999996</v>
      </c>
    </row>
    <row r="233" spans="1:4" x14ac:dyDescent="0.2">
      <c r="A233" t="s">
        <v>32</v>
      </c>
      <c r="B233" t="str">
        <f>Hurdles!A73</f>
        <v>H-9-7</v>
      </c>
      <c r="C233" s="1">
        <f>Hurdles!F73</f>
        <v>1.8866189646810057</v>
      </c>
      <c r="D233" s="1">
        <f>Hurdles!G73</f>
        <v>-46.309999999999995</v>
      </c>
    </row>
    <row r="234" spans="1:4" x14ac:dyDescent="0.2">
      <c r="A234" t="s">
        <v>32</v>
      </c>
      <c r="B234" t="str">
        <f>Hurdles!A74</f>
        <v>H-9-8</v>
      </c>
      <c r="C234" s="1">
        <f>Hurdles!F74</f>
        <v>1.8866189646810057</v>
      </c>
      <c r="D234" s="1">
        <f>Hurdles!G74</f>
        <v>-47.529999999999994</v>
      </c>
    </row>
    <row r="235" spans="1:4" x14ac:dyDescent="0.2">
      <c r="C235" s="1"/>
      <c r="D235" s="1"/>
    </row>
    <row r="236" spans="1:4" x14ac:dyDescent="0.2">
      <c r="A236" t="s">
        <v>32</v>
      </c>
      <c r="B236" t="str">
        <f>Hurdles!A75</f>
        <v>H-10-1</v>
      </c>
      <c r="C236" s="1">
        <f>Hurdles!F75</f>
        <v>36.888196781163202</v>
      </c>
      <c r="D236" s="1">
        <f>Hurdles!G75</f>
        <v>-38.99</v>
      </c>
    </row>
    <row r="237" spans="1:4" x14ac:dyDescent="0.2">
      <c r="A237" t="s">
        <v>32</v>
      </c>
      <c r="B237" t="str">
        <f>Hurdles!A76</f>
        <v>H-10-2</v>
      </c>
      <c r="C237" s="1">
        <f>Hurdles!F76</f>
        <v>36.888196781163202</v>
      </c>
      <c r="D237" s="1">
        <f>Hurdles!G76</f>
        <v>-40.21</v>
      </c>
    </row>
    <row r="238" spans="1:4" x14ac:dyDescent="0.2">
      <c r="A238" t="s">
        <v>32</v>
      </c>
      <c r="B238" t="str">
        <f>Hurdles!A77</f>
        <v>H-10-3</v>
      </c>
      <c r="C238" s="1">
        <f>Hurdles!F77</f>
        <v>36.888196781163202</v>
      </c>
      <c r="D238" s="1">
        <f>Hurdles!G77</f>
        <v>-41.43</v>
      </c>
    </row>
    <row r="239" spans="1:4" x14ac:dyDescent="0.2">
      <c r="A239" t="s">
        <v>32</v>
      </c>
      <c r="B239" t="str">
        <f>Hurdles!A78</f>
        <v>H-10-4</v>
      </c>
      <c r="C239" s="1">
        <f>Hurdles!F78</f>
        <v>36.888196781163202</v>
      </c>
      <c r="D239" s="1">
        <f>Hurdles!G78</f>
        <v>-42.65</v>
      </c>
    </row>
    <row r="240" spans="1:4" x14ac:dyDescent="0.2">
      <c r="A240" t="s">
        <v>32</v>
      </c>
      <c r="B240" t="str">
        <f>Hurdles!A79</f>
        <v>H-10-5</v>
      </c>
      <c r="C240" s="1">
        <f>Hurdles!F79</f>
        <v>36.888196781163202</v>
      </c>
      <c r="D240" s="1">
        <f>Hurdles!G79</f>
        <v>-43.87</v>
      </c>
    </row>
    <row r="241" spans="1:4" x14ac:dyDescent="0.2">
      <c r="A241" t="s">
        <v>32</v>
      </c>
      <c r="B241" t="str">
        <f>Hurdles!A80</f>
        <v>H-10-6</v>
      </c>
      <c r="C241" s="1">
        <f>Hurdles!F80</f>
        <v>36.888196781163202</v>
      </c>
      <c r="D241" s="1">
        <f>Hurdles!G80</f>
        <v>-45.089999999999996</v>
      </c>
    </row>
    <row r="242" spans="1:4" x14ac:dyDescent="0.2">
      <c r="A242" t="s">
        <v>32</v>
      </c>
      <c r="B242" t="str">
        <f>Hurdles!A81</f>
        <v>H-10-7</v>
      </c>
      <c r="C242" s="1">
        <f>Hurdles!F81</f>
        <v>36.888196781163202</v>
      </c>
      <c r="D242" s="1">
        <f>Hurdles!G81</f>
        <v>-46.309999999999995</v>
      </c>
    </row>
    <row r="243" spans="1:4" x14ac:dyDescent="0.2">
      <c r="A243" t="s">
        <v>32</v>
      </c>
      <c r="B243" t="str">
        <f>Hurdles!A82</f>
        <v>H-10-8</v>
      </c>
      <c r="C243" s="1">
        <f>Hurdles!F82</f>
        <v>36.888196781163202</v>
      </c>
      <c r="D243" s="1">
        <f>Hurdles!G82</f>
        <v>-47.529999999999994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BE0C-E2B2-084A-B3A8-40C5FF581B0A}">
  <dimension ref="A1:P265"/>
  <sheetViews>
    <sheetView workbookViewId="0">
      <pane ySplit="1" topLeftCell="A2" activePane="bottomLeft" state="frozen"/>
      <selection pane="bottomLeft" activeCell="I28" sqref="H21:I28"/>
    </sheetView>
  </sheetViews>
  <sheetFormatPr baseColWidth="10" defaultRowHeight="16" x14ac:dyDescent="0.2"/>
  <cols>
    <col min="2" max="3" width="10.83203125" style="1"/>
    <col min="5" max="7" width="10.83203125" style="1"/>
  </cols>
  <sheetData>
    <row r="1" spans="1:9" ht="17" thickBot="1" x14ac:dyDescent="0.25">
      <c r="A1" s="29" t="s">
        <v>7</v>
      </c>
      <c r="B1" s="30" t="s">
        <v>9</v>
      </c>
      <c r="C1" s="31" t="s">
        <v>10</v>
      </c>
      <c r="D1" s="29" t="s">
        <v>8</v>
      </c>
      <c r="E1" s="30" t="s">
        <v>11</v>
      </c>
      <c r="F1" s="31" t="s">
        <v>12</v>
      </c>
      <c r="G1" s="32" t="s">
        <v>13</v>
      </c>
      <c r="H1" s="29" t="s">
        <v>15</v>
      </c>
      <c r="I1" s="33" t="s">
        <v>16</v>
      </c>
    </row>
    <row r="2" spans="1:9" ht="17" thickBot="1" x14ac:dyDescent="0.25"/>
    <row r="3" spans="1:9" ht="17" thickBot="1" x14ac:dyDescent="0.25">
      <c r="A3" s="50" t="s">
        <v>68</v>
      </c>
      <c r="B3" s="51"/>
      <c r="C3" s="51"/>
      <c r="D3" s="51"/>
      <c r="E3" s="51"/>
      <c r="F3" s="51"/>
      <c r="G3" s="51"/>
      <c r="H3" s="51"/>
      <c r="I3" s="52"/>
    </row>
    <row r="4" spans="1:9" x14ac:dyDescent="0.2">
      <c r="A4" s="7" t="str">
        <f>Landmarks!A9</f>
        <v>DH (SP2)</v>
      </c>
      <c r="B4" s="8">
        <f>Landmarks!B9</f>
        <v>50.93</v>
      </c>
      <c r="C4" s="21">
        <f>Landmarks!C9</f>
        <v>33.190000000000005</v>
      </c>
      <c r="D4" s="20" t="str">
        <f>Starts!A3</f>
        <v>200-1</v>
      </c>
      <c r="E4" s="10">
        <f>Starts!D3</f>
        <v>-4.7748978698755303E-15</v>
      </c>
      <c r="F4" s="11">
        <f>Starts!E3</f>
        <v>38.99</v>
      </c>
      <c r="G4" s="26">
        <f t="shared" ref="G4" si="0">SQRT((E4-B4)^2+(F4-C4)^2)</f>
        <v>51.259193321783755</v>
      </c>
      <c r="H4" s="8">
        <v>51.26</v>
      </c>
      <c r="I4" s="11">
        <f t="shared" ref="I4:I6" si="1">G4-H4</f>
        <v>-8.066782162430286E-4</v>
      </c>
    </row>
    <row r="5" spans="1:9" x14ac:dyDescent="0.2">
      <c r="A5" s="12" t="str">
        <f>Landmarks!A9</f>
        <v>DH (SP2)</v>
      </c>
      <c r="B5" s="13">
        <f>Landmarks!B9</f>
        <v>50.93</v>
      </c>
      <c r="C5" s="22">
        <f>Landmarks!C9</f>
        <v>33.190000000000005</v>
      </c>
      <c r="D5" s="15" t="str">
        <f>Starts!A4</f>
        <v>200-2</v>
      </c>
      <c r="E5" s="1">
        <f>Starts!D4</f>
        <v>-3.8080583124796639</v>
      </c>
      <c r="F5" s="14">
        <f>Starts!E4</f>
        <v>40.029274186384576</v>
      </c>
      <c r="G5" s="27">
        <f t="shared" ref="G5:G6" si="2">SQRT((E5-B5)^2+(F5-C5)^2)</f>
        <v>55.163671915645452</v>
      </c>
      <c r="H5" s="13">
        <v>55.17</v>
      </c>
      <c r="I5" s="14">
        <f t="shared" si="1"/>
        <v>-6.328084354549901E-3</v>
      </c>
    </row>
    <row r="6" spans="1:9" x14ac:dyDescent="0.2">
      <c r="A6" s="12" t="str">
        <f>Landmarks!A9</f>
        <v>DH (SP2)</v>
      </c>
      <c r="B6" s="13">
        <f>Landmarks!B9</f>
        <v>50.93</v>
      </c>
      <c r="C6" s="22">
        <f>Landmarks!C9</f>
        <v>33.190000000000005</v>
      </c>
      <c r="D6" s="15" t="str">
        <f>Starts!A5</f>
        <v>200-3</v>
      </c>
      <c r="E6" s="1">
        <f>Starts!D5</f>
        <v>-7.5856237922469374</v>
      </c>
      <c r="F6" s="14">
        <f>Starts!E5</f>
        <v>40.729635545662539</v>
      </c>
      <c r="G6" s="27">
        <f t="shared" si="2"/>
        <v>58.999358741915096</v>
      </c>
      <c r="H6" s="13">
        <v>59</v>
      </c>
      <c r="I6" s="14">
        <f t="shared" si="1"/>
        <v>-6.4125808490445024E-4</v>
      </c>
    </row>
    <row r="7" spans="1:9" x14ac:dyDescent="0.2">
      <c r="A7" s="15" t="str">
        <f>Landmarks!A12</f>
        <v>NIP (A)</v>
      </c>
      <c r="B7">
        <f>Landmarks!B12</f>
        <v>0</v>
      </c>
      <c r="C7" s="23">
        <f>Landmarks!C12</f>
        <v>50.589999999999996</v>
      </c>
      <c r="D7" s="15" t="str">
        <f>Starts!A6</f>
        <v>200-4</v>
      </c>
      <c r="E7" s="1">
        <f>Starts!D6</f>
        <v>-11.307711864332953</v>
      </c>
      <c r="F7" s="14">
        <f>Starts!E6</f>
        <v>41.123693321408084</v>
      </c>
      <c r="G7" s="27">
        <f t="shared" ref="G7:G150" si="3">SQRT((E7-B7)^2+(F7-C7)^2)</f>
        <v>14.747044101782908</v>
      </c>
      <c r="H7">
        <v>14.75</v>
      </c>
      <c r="I7" s="14">
        <f t="shared" ref="I7:I9" si="4">G7-H7</f>
        <v>-2.9558982170918568E-3</v>
      </c>
    </row>
    <row r="8" spans="1:9" x14ac:dyDescent="0.2">
      <c r="A8" s="15" t="str">
        <f>Landmarks!A12</f>
        <v>NIP (A)</v>
      </c>
      <c r="B8">
        <f>Landmarks!B12</f>
        <v>0</v>
      </c>
      <c r="C8" s="23">
        <f>Landmarks!C12</f>
        <v>50.589999999999996</v>
      </c>
      <c r="D8" s="15" t="str">
        <f>Starts!A7</f>
        <v>200-5</v>
      </c>
      <c r="E8" s="1">
        <f>Starts!D7</f>
        <v>-14.955434209628235</v>
      </c>
      <c r="F8" s="14">
        <f>Starts!E7</f>
        <v>41.242113035118379</v>
      </c>
      <c r="G8" s="27">
        <f t="shared" si="3"/>
        <v>17.63655303926258</v>
      </c>
      <c r="H8">
        <v>17.64</v>
      </c>
      <c r="I8" s="14">
        <f t="shared" si="4"/>
        <v>-3.446960737420568E-3</v>
      </c>
    </row>
    <row r="9" spans="1:9" x14ac:dyDescent="0.2">
      <c r="A9" s="15" t="str">
        <f>Landmarks!A12</f>
        <v>NIP (A)</v>
      </c>
      <c r="B9">
        <f>Landmarks!B12</f>
        <v>0</v>
      </c>
      <c r="C9" s="23">
        <f>Landmarks!C12</f>
        <v>50.589999999999996</v>
      </c>
      <c r="D9" s="15" t="str">
        <f>Starts!A8</f>
        <v>200-6</v>
      </c>
      <c r="E9" s="1">
        <f>Starts!D8</f>
        <v>-18.514837313612375</v>
      </c>
      <c r="F9" s="14">
        <f>Starts!E8</f>
        <v>41.113366430523136</v>
      </c>
      <c r="G9" s="27">
        <f t="shared" si="3"/>
        <v>20.799177497191298</v>
      </c>
      <c r="H9">
        <v>20.8</v>
      </c>
      <c r="I9" s="14">
        <f t="shared" si="4"/>
        <v>-8.225028087025521E-4</v>
      </c>
    </row>
    <row r="10" spans="1:9" x14ac:dyDescent="0.2">
      <c r="A10" s="15" t="str">
        <f>Landmarks!A12</f>
        <v>NIP (A)</v>
      </c>
      <c r="B10">
        <f>Landmarks!B12</f>
        <v>0</v>
      </c>
      <c r="C10" s="23">
        <f>Landmarks!C12</f>
        <v>50.589999999999996</v>
      </c>
      <c r="D10" s="15" t="str">
        <f>Starts!A9</f>
        <v>200-7</v>
      </c>
      <c r="E10" s="1">
        <f>Starts!D9</f>
        <v>-21.975938739861952</v>
      </c>
      <c r="F10" s="14">
        <f>Starts!E9</f>
        <v>40.763638410988712</v>
      </c>
      <c r="G10" s="27">
        <f t="shared" si="3"/>
        <v>24.072790980195084</v>
      </c>
      <c r="H10">
        <v>24.1</v>
      </c>
      <c r="I10" s="14">
        <f t="shared" ref="I10:I11" si="5">G10-H10</f>
        <v>-2.7209019804917745E-2</v>
      </c>
    </row>
    <row r="11" spans="1:9" ht="17" thickBot="1" x14ac:dyDescent="0.25">
      <c r="A11" s="16" t="str">
        <f>Landmarks!A12</f>
        <v>NIP (A)</v>
      </c>
      <c r="B11" s="17">
        <f>Landmarks!B12</f>
        <v>0</v>
      </c>
      <c r="C11" s="24">
        <f>Landmarks!C12</f>
        <v>50.589999999999996</v>
      </c>
      <c r="D11" s="16" t="str">
        <f>Starts!A10</f>
        <v>200-8</v>
      </c>
      <c r="E11" s="18">
        <f>Starts!D10</f>
        <v>-25.33193310499458</v>
      </c>
      <c r="F11" s="19">
        <f>Starts!E10</f>
        <v>40.216838080138508</v>
      </c>
      <c r="G11" s="28">
        <f t="shared" si="3"/>
        <v>27.373514992627175</v>
      </c>
      <c r="H11" s="17">
        <v>27.37</v>
      </c>
      <c r="I11" s="19">
        <f t="shared" si="5"/>
        <v>3.5149926271742515E-3</v>
      </c>
    </row>
    <row r="12" spans="1:9" x14ac:dyDescent="0.2">
      <c r="A12" s="20" t="str">
        <f>Landmarks!A9</f>
        <v>DH (SP2)</v>
      </c>
      <c r="B12" s="9">
        <f>Landmarks!B9</f>
        <v>50.93</v>
      </c>
      <c r="C12" s="25">
        <f>Landmarks!C9</f>
        <v>33.190000000000005</v>
      </c>
      <c r="D12" s="20" t="str">
        <f>Starts!P3</f>
        <v>3000-1</v>
      </c>
      <c r="E12" s="10">
        <f>Starts!S3</f>
        <v>-4.7748978698755303E-15</v>
      </c>
      <c r="F12" s="11">
        <f>Starts!T3</f>
        <v>38.99</v>
      </c>
      <c r="G12" s="26">
        <f t="shared" ref="G12:G53" si="6">SQRT((E12-B12)^2+(F12-C12)^2)</f>
        <v>51.259193321783755</v>
      </c>
      <c r="H12" s="8">
        <v>51.26</v>
      </c>
      <c r="I12" s="11">
        <f t="shared" ref="I12:I53" si="7">G12-H12</f>
        <v>-8.066782162430286E-4</v>
      </c>
    </row>
    <row r="13" spans="1:9" x14ac:dyDescent="0.2">
      <c r="A13" s="15" t="str">
        <f>Landmarks!A9</f>
        <v>DH (SP2)</v>
      </c>
      <c r="B13">
        <f>Landmarks!B9</f>
        <v>50.93</v>
      </c>
      <c r="C13" s="23">
        <f>Landmarks!C9</f>
        <v>33.190000000000005</v>
      </c>
      <c r="D13" s="15" t="str">
        <f>Starts!P4</f>
        <v>3000-2</v>
      </c>
      <c r="E13" s="1">
        <f>Starts!S4</f>
        <v>-0.17090853464282107</v>
      </c>
      <c r="F13" s="14">
        <f>Starts!T4</f>
        <v>40.209636783646609</v>
      </c>
      <c r="G13" s="27">
        <f t="shared" si="6"/>
        <v>51.580792487516668</v>
      </c>
      <c r="H13">
        <v>51.58</v>
      </c>
      <c r="I13" s="14">
        <f t="shared" si="7"/>
        <v>7.9248751666938233E-4</v>
      </c>
    </row>
    <row r="14" spans="1:9" x14ac:dyDescent="0.2">
      <c r="A14" s="15" t="str">
        <f>Landmarks!A9</f>
        <v>DH (SP2)</v>
      </c>
      <c r="B14">
        <f>Landmarks!B9</f>
        <v>50.93</v>
      </c>
      <c r="C14" s="23">
        <f>Landmarks!C9</f>
        <v>33.190000000000005</v>
      </c>
      <c r="D14" s="15" t="str">
        <f>Starts!P5</f>
        <v>3000-3</v>
      </c>
      <c r="E14" s="1">
        <f>Starts!S5</f>
        <v>-0.52196853142739319</v>
      </c>
      <c r="F14" s="14">
        <f>Starts!T5</f>
        <v>41.426711779384561</v>
      </c>
      <c r="G14" s="27">
        <f t="shared" si="6"/>
        <v>52.107086722399352</v>
      </c>
      <c r="H14">
        <v>52.11</v>
      </c>
      <c r="I14" s="14">
        <f t="shared" si="7"/>
        <v>-2.9132776006477457E-3</v>
      </c>
    </row>
    <row r="15" spans="1:9" x14ac:dyDescent="0.2">
      <c r="A15" s="15" t="str">
        <f>Landmarks!A9</f>
        <v>DH (SP2)</v>
      </c>
      <c r="B15">
        <f>Landmarks!B9</f>
        <v>50.93</v>
      </c>
      <c r="C15" s="23">
        <f>Landmarks!C9</f>
        <v>33.190000000000005</v>
      </c>
      <c r="D15" s="15" t="str">
        <f>Starts!P6</f>
        <v>3000-4</v>
      </c>
      <c r="E15" s="1">
        <f>Starts!S6</f>
        <v>-1.0323031017663094</v>
      </c>
      <c r="F15" s="14">
        <f>Starts!T6</f>
        <v>42.637505207341619</v>
      </c>
      <c r="G15" s="27">
        <f t="shared" si="6"/>
        <v>52.814167590548841</v>
      </c>
      <c r="H15">
        <v>52.81</v>
      </c>
      <c r="I15" s="14">
        <f t="shared" si="7"/>
        <v>4.1675905488389731E-3</v>
      </c>
    </row>
    <row r="16" spans="1:9" x14ac:dyDescent="0.2">
      <c r="A16" s="15" t="str">
        <f>Landmarks!A9</f>
        <v>DH (SP2)</v>
      </c>
      <c r="B16">
        <f>Landmarks!B9</f>
        <v>50.93</v>
      </c>
      <c r="C16" s="23">
        <f>Landmarks!C9</f>
        <v>33.190000000000005</v>
      </c>
      <c r="D16" s="15" t="str">
        <f>Starts!P7</f>
        <v>3000-5</v>
      </c>
      <c r="E16" s="1">
        <f>Starts!S7</f>
        <v>-1.6321688196206667</v>
      </c>
      <c r="F16" s="14">
        <f>Starts!T7</f>
        <v>43.839627335827771</v>
      </c>
      <c r="G16" s="27">
        <f t="shared" si="6"/>
        <v>53.630179501977366</v>
      </c>
      <c r="H16">
        <v>53.63</v>
      </c>
      <c r="I16" s="14">
        <f t="shared" si="7"/>
        <v>1.7950197736382734E-4</v>
      </c>
    </row>
    <row r="17" spans="1:9" x14ac:dyDescent="0.2">
      <c r="A17" s="15" t="str">
        <f>Landmarks!A9</f>
        <v>DH (SP2)</v>
      </c>
      <c r="B17">
        <f>Landmarks!B9</f>
        <v>50.93</v>
      </c>
      <c r="C17" s="23">
        <f>Landmarks!C9</f>
        <v>33.190000000000005</v>
      </c>
      <c r="D17" s="15" t="str">
        <f>Starts!P8</f>
        <v>3000-6</v>
      </c>
      <c r="E17" s="1">
        <f>Starts!S8</f>
        <v>-2.3412882843061742</v>
      </c>
      <c r="F17" s="14">
        <f>Starts!T8</f>
        <v>45.029173534163057</v>
      </c>
      <c r="G17" s="27">
        <f t="shared" si="6"/>
        <v>54.571019648176666</v>
      </c>
      <c r="H17">
        <v>54.57</v>
      </c>
      <c r="I17" s="14">
        <f t="shared" si="7"/>
        <v>1.0196481766655552E-3</v>
      </c>
    </row>
    <row r="18" spans="1:9" x14ac:dyDescent="0.2">
      <c r="A18" s="15" t="str">
        <f>Landmarks!A9</f>
        <v>DH (SP2)</v>
      </c>
      <c r="B18">
        <f>Landmarks!B9</f>
        <v>50.93</v>
      </c>
      <c r="C18" s="23">
        <f>Landmarks!C9</f>
        <v>33.190000000000005</v>
      </c>
      <c r="D18" s="15" t="str">
        <f>Starts!P9</f>
        <v>3000-7</v>
      </c>
      <c r="E18" s="1">
        <f>Starts!S9</f>
        <v>-3.1593634098799424</v>
      </c>
      <c r="F18" s="14">
        <f>Starts!T9</f>
        <v>46.20210517762488</v>
      </c>
      <c r="G18" s="27">
        <f t="shared" si="6"/>
        <v>55.632491542619512</v>
      </c>
      <c r="H18">
        <v>55.63</v>
      </c>
      <c r="I18" s="14">
        <f t="shared" si="7"/>
        <v>2.491542619509346E-3</v>
      </c>
    </row>
    <row r="19" spans="1:9" x14ac:dyDescent="0.2">
      <c r="A19" s="15" t="str">
        <f>Landmarks!A9</f>
        <v>DH (SP2)</v>
      </c>
      <c r="B19">
        <f>Landmarks!B9</f>
        <v>50.93</v>
      </c>
      <c r="C19" s="23">
        <f>Landmarks!C9</f>
        <v>33.190000000000005</v>
      </c>
      <c r="D19" s="15" t="str">
        <f>Starts!P10</f>
        <v>3000-8</v>
      </c>
      <c r="E19" s="1">
        <f>Starts!S10</f>
        <v>-4.1157164228888936</v>
      </c>
      <c r="F19" s="14">
        <f>Starts!T10</f>
        <v>47.351470709222561</v>
      </c>
      <c r="G19" s="27">
        <f t="shared" si="6"/>
        <v>56.838175104037859</v>
      </c>
      <c r="H19">
        <v>56.84</v>
      </c>
      <c r="I19" s="14">
        <f t="shared" si="7"/>
        <v>-1.8248959621445238E-3</v>
      </c>
    </row>
    <row r="20" spans="1:9" ht="17" thickBot="1" x14ac:dyDescent="0.25">
      <c r="A20" s="16" t="str">
        <f>Landmarks!A9</f>
        <v>DH (SP2)</v>
      </c>
      <c r="B20" s="17">
        <f>Landmarks!B9</f>
        <v>50.93</v>
      </c>
      <c r="C20" s="24">
        <f>Landmarks!C9</f>
        <v>33.190000000000005</v>
      </c>
      <c r="D20" s="16" t="str">
        <f>Starts!P11</f>
        <v>3000-9</v>
      </c>
      <c r="E20" s="18">
        <f>Starts!S11</f>
        <v>-5.239285582359118</v>
      </c>
      <c r="F20" s="19">
        <f>Starts!T11</f>
        <v>48.467642676186379</v>
      </c>
      <c r="G20" s="28">
        <f t="shared" si="6"/>
        <v>58.20992190832974</v>
      </c>
      <c r="H20" s="17">
        <v>58.21</v>
      </c>
      <c r="I20" s="19">
        <f t="shared" si="7"/>
        <v>-7.80916702609602E-5</v>
      </c>
    </row>
    <row r="21" spans="1:9" x14ac:dyDescent="0.2">
      <c r="A21" s="20" t="str">
        <f>Landmarks!A9</f>
        <v>DH (SP2)</v>
      </c>
      <c r="B21" s="9">
        <f>Landmarks!B9</f>
        <v>50.93</v>
      </c>
      <c r="C21" s="25">
        <f>Landmarks!C9</f>
        <v>33.190000000000005</v>
      </c>
      <c r="D21" s="20" t="str">
        <f>Starts!K11</f>
        <v>800-B-1</v>
      </c>
      <c r="E21" s="10">
        <f>Starts!N11</f>
        <v>76.89</v>
      </c>
      <c r="F21" s="11">
        <f>Starts!O11</f>
        <v>38.99</v>
      </c>
      <c r="G21" s="26">
        <f t="shared" si="6"/>
        <v>26.600030075170967</v>
      </c>
      <c r="H21" s="9">
        <v>26.6</v>
      </c>
      <c r="I21" s="11">
        <f t="shared" si="7"/>
        <v>3.0075170965204734E-5</v>
      </c>
    </row>
    <row r="22" spans="1:9" x14ac:dyDescent="0.2">
      <c r="A22" s="15" t="str">
        <f>Landmarks!A9</f>
        <v>DH (SP2)</v>
      </c>
      <c r="B22">
        <f>Landmarks!B9</f>
        <v>50.93</v>
      </c>
      <c r="C22" s="23">
        <f>Landmarks!C9</f>
        <v>33.190000000000005</v>
      </c>
      <c r="D22" s="15" t="str">
        <f>Starts!K12</f>
        <v>800-B-2</v>
      </c>
      <c r="E22" s="1">
        <f>Starts!N12</f>
        <v>76.89</v>
      </c>
      <c r="F22" s="14">
        <f>Starts!O12</f>
        <v>40.21</v>
      </c>
      <c r="G22" s="27">
        <f t="shared" si="6"/>
        <v>26.8924152875862</v>
      </c>
      <c r="H22">
        <v>26.89</v>
      </c>
      <c r="I22" s="14">
        <f t="shared" si="7"/>
        <v>2.415287586199355E-3</v>
      </c>
    </row>
    <row r="23" spans="1:9" x14ac:dyDescent="0.2">
      <c r="A23" s="15" t="str">
        <f>Landmarks!A9</f>
        <v>DH (SP2)</v>
      </c>
      <c r="B23">
        <f>Landmarks!B9</f>
        <v>50.93</v>
      </c>
      <c r="C23" s="23">
        <f>Landmarks!C9</f>
        <v>33.190000000000005</v>
      </c>
      <c r="D23" s="15" t="str">
        <f>Starts!K13</f>
        <v>800-B-3</v>
      </c>
      <c r="E23" s="1">
        <f>Starts!N13</f>
        <v>76.88</v>
      </c>
      <c r="F23" s="14">
        <f>Starts!O13</f>
        <v>41.43</v>
      </c>
      <c r="G23" s="27">
        <f t="shared" si="6"/>
        <v>27.226826844125625</v>
      </c>
      <c r="H23">
        <v>27.21</v>
      </c>
      <c r="I23" s="14">
        <f t="shared" si="7"/>
        <v>1.6826844125624518E-2</v>
      </c>
    </row>
    <row r="24" spans="1:9" x14ac:dyDescent="0.2">
      <c r="A24" s="15" t="str">
        <f>Landmarks!A9</f>
        <v>DH (SP2)</v>
      </c>
      <c r="B24">
        <f>Landmarks!B9</f>
        <v>50.93</v>
      </c>
      <c r="C24" s="23">
        <f>Landmarks!C9</f>
        <v>33.190000000000005</v>
      </c>
      <c r="D24" s="15" t="str">
        <f>Starts!K14</f>
        <v>800-B-4</v>
      </c>
      <c r="E24" s="1">
        <f>Starts!N14</f>
        <v>76.87</v>
      </c>
      <c r="F24" s="14">
        <f>Starts!O14</f>
        <v>42.65</v>
      </c>
      <c r="G24" s="27">
        <f t="shared" si="6"/>
        <v>27.611142678273929</v>
      </c>
      <c r="H24">
        <v>27.64</v>
      </c>
      <c r="I24" s="14">
        <f t="shared" si="7"/>
        <v>-2.8857321726071916E-2</v>
      </c>
    </row>
    <row r="25" spans="1:9" x14ac:dyDescent="0.2">
      <c r="A25" s="15" t="str">
        <f>Landmarks!A9</f>
        <v>DH (SP2)</v>
      </c>
      <c r="B25">
        <f>Landmarks!B9</f>
        <v>50.93</v>
      </c>
      <c r="C25" s="23">
        <f>Landmarks!C9</f>
        <v>33.190000000000005</v>
      </c>
      <c r="D25" s="15" t="str">
        <f>Starts!K16</f>
        <v>800-B-6</v>
      </c>
      <c r="E25" s="1">
        <f>Starts!N16</f>
        <v>76.680000000000007</v>
      </c>
      <c r="F25" s="14">
        <f>Starts!O16</f>
        <v>45.089999999999996</v>
      </c>
      <c r="G25" s="27">
        <f t="shared" si="6"/>
        <v>28.366749901953874</v>
      </c>
      <c r="H25">
        <v>28.36</v>
      </c>
      <c r="I25" s="14">
        <f t="shared" si="7"/>
        <v>6.749901953874371E-3</v>
      </c>
    </row>
    <row r="26" spans="1:9" x14ac:dyDescent="0.2">
      <c r="A26" s="15" t="str">
        <f>Landmarks!A9</f>
        <v>DH (SP2)</v>
      </c>
      <c r="B26">
        <f>Landmarks!B9</f>
        <v>50.93</v>
      </c>
      <c r="C26" s="23">
        <f>Landmarks!C9</f>
        <v>33.190000000000005</v>
      </c>
      <c r="D26" s="15" t="str">
        <f>Starts!K17</f>
        <v>800-B-7</v>
      </c>
      <c r="E26" s="1">
        <f>Starts!N17</f>
        <v>76.570000000000007</v>
      </c>
      <c r="F26" s="14">
        <f>Starts!O17</f>
        <v>46.309999999999995</v>
      </c>
      <c r="G26" s="27">
        <f t="shared" si="6"/>
        <v>28.801805498961347</v>
      </c>
      <c r="H26">
        <v>28.81</v>
      </c>
      <c r="I26" s="14">
        <f t="shared" si="7"/>
        <v>-8.1945010386519357E-3</v>
      </c>
    </row>
    <row r="27" spans="1:9" x14ac:dyDescent="0.2">
      <c r="A27" s="15" t="str">
        <f>Landmarks!A9</f>
        <v>DH (SP2)</v>
      </c>
      <c r="B27">
        <f>Landmarks!B9</f>
        <v>50.93</v>
      </c>
      <c r="C27" s="23">
        <f>Landmarks!C9</f>
        <v>33.190000000000005</v>
      </c>
      <c r="D27" s="15" t="str">
        <f>Starts!K18</f>
        <v>800-B-8</v>
      </c>
      <c r="E27" s="1">
        <f>Starts!N18</f>
        <v>76.459999999999994</v>
      </c>
      <c r="F27" s="14">
        <f>Starts!O18</f>
        <v>47.529999999999994</v>
      </c>
      <c r="G27" s="27">
        <f t="shared" si="6"/>
        <v>29.28167515699878</v>
      </c>
      <c r="H27">
        <v>29.28</v>
      </c>
      <c r="I27" s="14">
        <f t="shared" si="7"/>
        <v>1.6751569987789594E-3</v>
      </c>
    </row>
    <row r="28" spans="1:9" ht="17" thickBot="1" x14ac:dyDescent="0.25">
      <c r="A28" s="16" t="str">
        <f>Landmarks!A9</f>
        <v>DH (SP2)</v>
      </c>
      <c r="B28" s="17">
        <f>Landmarks!B9</f>
        <v>50.93</v>
      </c>
      <c r="C28" s="24">
        <f>Landmarks!C9</f>
        <v>33.190000000000005</v>
      </c>
      <c r="D28" s="16" t="str">
        <f>Starts!K19</f>
        <v>800-B-9</v>
      </c>
      <c r="E28" s="18">
        <f>Starts!N19</f>
        <v>76.33</v>
      </c>
      <c r="F28" s="19">
        <f>Starts!O19</f>
        <v>48.749999999999993</v>
      </c>
      <c r="G28" s="28">
        <f t="shared" si="6"/>
        <v>29.787138163979424</v>
      </c>
      <c r="H28" s="17">
        <v>29.79</v>
      </c>
      <c r="I28" s="19">
        <f t="shared" si="7"/>
        <v>-2.8618360205747706E-3</v>
      </c>
    </row>
    <row r="29" spans="1:9" x14ac:dyDescent="0.2">
      <c r="A29" s="20" t="str">
        <f>Landmarks!A17</f>
        <v>NIC (1500)</v>
      </c>
      <c r="B29" s="9">
        <f>Landmarks!B17</f>
        <v>119.75</v>
      </c>
      <c r="C29" s="25">
        <f>Landmarks!C17</f>
        <v>25.67</v>
      </c>
      <c r="D29" s="20" t="str">
        <f>Starts!U3</f>
        <v>1500-1</v>
      </c>
      <c r="E29" s="10">
        <f>Starts!X3</f>
        <v>98.576239608110257</v>
      </c>
      <c r="F29" s="11">
        <f>Starts!Y3</f>
        <v>32.402578781011094</v>
      </c>
      <c r="G29" s="26">
        <f t="shared" si="6"/>
        <v>22.218365065316569</v>
      </c>
      <c r="H29" s="9">
        <v>22.22</v>
      </c>
      <c r="I29" s="11">
        <f t="shared" si="7"/>
        <v>-1.6349346834303446E-3</v>
      </c>
    </row>
    <row r="30" spans="1:9" x14ac:dyDescent="0.2">
      <c r="A30" s="15" t="str">
        <f>Landmarks!A17</f>
        <v>NIC (1500)</v>
      </c>
      <c r="B30">
        <f>Landmarks!B17</f>
        <v>119.75</v>
      </c>
      <c r="C30" s="23">
        <f>Landmarks!C17</f>
        <v>25.67</v>
      </c>
      <c r="D30" s="15" t="str">
        <f>Starts!U4</f>
        <v>1500-2</v>
      </c>
      <c r="E30" s="1">
        <f>Starts!X4</f>
        <v>99.109191667173604</v>
      </c>
      <c r="F30" s="14">
        <f>Starts!Y4</f>
        <v>33.513454337883516</v>
      </c>
      <c r="G30" s="27">
        <f t="shared" si="6"/>
        <v>22.080823005108737</v>
      </c>
      <c r="H30">
        <v>22.08</v>
      </c>
      <c r="I30" s="14">
        <f t="shared" si="7"/>
        <v>8.2300510873878352E-4</v>
      </c>
    </row>
    <row r="31" spans="1:9" x14ac:dyDescent="0.2">
      <c r="A31" s="15" t="str">
        <f>Landmarks!A17</f>
        <v>NIC (1500)</v>
      </c>
      <c r="B31">
        <f>Landmarks!B17</f>
        <v>119.75</v>
      </c>
      <c r="C31" s="23">
        <f>Landmarks!C17</f>
        <v>25.67</v>
      </c>
      <c r="D31" s="15" t="str">
        <f>Starts!U5</f>
        <v>1500-3</v>
      </c>
      <c r="E31" s="1">
        <f>Starts!X5</f>
        <v>99.503065276657281</v>
      </c>
      <c r="F31" s="14">
        <f>Starts!Y5</f>
        <v>34.714466419543839</v>
      </c>
      <c r="G31" s="27">
        <f t="shared" si="6"/>
        <v>22.175228037284246</v>
      </c>
      <c r="H31">
        <v>22.18</v>
      </c>
      <c r="I31" s="14">
        <f t="shared" si="7"/>
        <v>-4.7719627157540856E-3</v>
      </c>
    </row>
    <row r="32" spans="1:9" x14ac:dyDescent="0.2">
      <c r="A32" s="15" t="str">
        <f>Landmarks!A17</f>
        <v>NIC (1500)</v>
      </c>
      <c r="B32">
        <f>Landmarks!B17</f>
        <v>119.75</v>
      </c>
      <c r="C32" s="23">
        <f>Landmarks!C17</f>
        <v>25.67</v>
      </c>
      <c r="D32" s="15" t="str">
        <f>Starts!U6</f>
        <v>1500-4</v>
      </c>
      <c r="E32" s="1">
        <f>Starts!X6</f>
        <v>99.752803022146409</v>
      </c>
      <c r="F32" s="14">
        <f>Starts!Y6</f>
        <v>36.004371095334143</v>
      </c>
      <c r="G32" s="27">
        <f t="shared" si="6"/>
        <v>22.509711524298897</v>
      </c>
      <c r="H32">
        <v>22.51</v>
      </c>
      <c r="I32" s="14">
        <f t="shared" si="7"/>
        <v>-2.8847570110457355E-4</v>
      </c>
    </row>
    <row r="33" spans="1:9" x14ac:dyDescent="0.2">
      <c r="A33" s="15" t="str">
        <f>Landmarks!A17</f>
        <v>NIC (1500)</v>
      </c>
      <c r="B33">
        <f>Landmarks!B17</f>
        <v>119.75</v>
      </c>
      <c r="C33" s="23">
        <f>Landmarks!C17</f>
        <v>25.67</v>
      </c>
      <c r="D33" s="15" t="str">
        <f>Starts!U7</f>
        <v>1500-5</v>
      </c>
      <c r="E33" s="1">
        <f>Starts!X7</f>
        <v>99.914850298334116</v>
      </c>
      <c r="F33" s="14">
        <f>Starts!Y7</f>
        <v>37.342109859236707</v>
      </c>
      <c r="G33" s="27">
        <f t="shared" si="6"/>
        <v>23.014589117635513</v>
      </c>
      <c r="H33">
        <v>23.01</v>
      </c>
      <c r="I33" s="14">
        <f t="shared" si="7"/>
        <v>4.5891176355112862E-3</v>
      </c>
    </row>
    <row r="34" spans="1:9" x14ac:dyDescent="0.2">
      <c r="A34" s="15" t="str">
        <f>Landmarks!A17</f>
        <v>NIC (1500)</v>
      </c>
      <c r="B34">
        <f>Landmarks!B17</f>
        <v>119.75</v>
      </c>
      <c r="C34" s="23">
        <f>Landmarks!C17</f>
        <v>25.67</v>
      </c>
      <c r="D34" s="15" t="str">
        <f>Starts!U8</f>
        <v>1500-6</v>
      </c>
      <c r="E34" s="1">
        <f>Starts!X8</f>
        <v>100.01316128302297</v>
      </c>
      <c r="F34" s="14">
        <f>Starts!Y8</f>
        <v>38.709527409661149</v>
      </c>
      <c r="G34" s="27">
        <f t="shared" si="6"/>
        <v>23.655275893704303</v>
      </c>
      <c r="H34">
        <v>23.66</v>
      </c>
      <c r="I34" s="14">
        <f t="shared" si="7"/>
        <v>-4.7241062956970836E-3</v>
      </c>
    </row>
    <row r="35" spans="1:9" x14ac:dyDescent="0.2">
      <c r="A35" s="15" t="str">
        <f>Landmarks!A17</f>
        <v>NIC (1500)</v>
      </c>
      <c r="B35">
        <f>Landmarks!B17</f>
        <v>119.75</v>
      </c>
      <c r="C35" s="23">
        <f>Landmarks!C17</f>
        <v>25.67</v>
      </c>
      <c r="D35" s="15" t="str">
        <f>Starts!U9</f>
        <v>1500-7</v>
      </c>
      <c r="E35" s="1">
        <f>Starts!X9</f>
        <v>99.960397049288389</v>
      </c>
      <c r="F35" s="14">
        <f>Starts!Y9</f>
        <v>40.154363150076051</v>
      </c>
      <c r="G35" s="27">
        <f t="shared" si="6"/>
        <v>24.52397114682071</v>
      </c>
      <c r="H35">
        <v>24.52</v>
      </c>
      <c r="I35" s="14">
        <f t="shared" si="7"/>
        <v>3.971146820710203E-3</v>
      </c>
    </row>
    <row r="36" spans="1:9" x14ac:dyDescent="0.2">
      <c r="A36" s="15" t="str">
        <f>Landmarks!A17</f>
        <v>NIC (1500)</v>
      </c>
      <c r="B36">
        <f>Landmarks!B17</f>
        <v>119.75</v>
      </c>
      <c r="C36" s="23">
        <f>Landmarks!C17</f>
        <v>25.67</v>
      </c>
      <c r="D36" s="15" t="str">
        <f>Starts!U10</f>
        <v>1500-8</v>
      </c>
      <c r="E36" s="1">
        <f>Starts!X10</f>
        <v>99.76162781012097</v>
      </c>
      <c r="F36" s="14">
        <f>Starts!Y10</f>
        <v>41.665207803577559</v>
      </c>
      <c r="G36" s="27">
        <f t="shared" si="6"/>
        <v>25.600423736351665</v>
      </c>
      <c r="H36">
        <v>25.6</v>
      </c>
      <c r="I36" s="14">
        <f t="shared" si="7"/>
        <v>4.2373635166370605E-4</v>
      </c>
    </row>
    <row r="37" spans="1:9" ht="17" thickBot="1" x14ac:dyDescent="0.25">
      <c r="A37" s="16" t="str">
        <f>Landmarks!A17</f>
        <v>NIC (1500)</v>
      </c>
      <c r="B37" s="17">
        <f>Landmarks!B17</f>
        <v>119.75</v>
      </c>
      <c r="C37" s="24">
        <f>Landmarks!C17</f>
        <v>25.67</v>
      </c>
      <c r="D37" s="16" t="str">
        <f>Starts!U11</f>
        <v>1500-9</v>
      </c>
      <c r="E37" s="18">
        <f>Starts!X11</f>
        <v>99.377915369227267</v>
      </c>
      <c r="F37" s="19">
        <f>Starts!Y11</f>
        <v>43.253394807187931</v>
      </c>
      <c r="G37" s="28">
        <f t="shared" si="6"/>
        <v>26.910919812388613</v>
      </c>
      <c r="H37" s="17">
        <v>26.91</v>
      </c>
      <c r="I37" s="19">
        <f t="shared" si="7"/>
        <v>9.1981238861293946E-4</v>
      </c>
    </row>
    <row r="38" spans="1:9" x14ac:dyDescent="0.2">
      <c r="A38" s="20" t="str">
        <f>Landmarks!A18</f>
        <v>NIC (800)</v>
      </c>
      <c r="B38" s="9">
        <f>Landmarks!B18</f>
        <v>94.11</v>
      </c>
      <c r="C38" s="25">
        <f>Landmarks!C18</f>
        <v>-47.14</v>
      </c>
      <c r="D38" s="20" t="str">
        <f>Starts!K3</f>
        <v>800-S-1</v>
      </c>
      <c r="E38" s="10">
        <f>Starts!N3</f>
        <v>76.890000000000015</v>
      </c>
      <c r="F38" s="11">
        <f>Starts!O3</f>
        <v>-38.99</v>
      </c>
      <c r="G38" s="26">
        <f t="shared" si="6"/>
        <v>19.051270298854075</v>
      </c>
      <c r="H38" s="9">
        <v>19.05</v>
      </c>
      <c r="I38" s="11">
        <f t="shared" si="7"/>
        <v>1.2702988540738147E-3</v>
      </c>
    </row>
    <row r="39" spans="1:9" x14ac:dyDescent="0.2">
      <c r="A39" s="15" t="str">
        <f>Landmarks!A19</f>
        <v>NIC (400)</v>
      </c>
      <c r="B39">
        <f>Landmarks!B19</f>
        <v>108.67</v>
      </c>
      <c r="C39" s="23">
        <f>Landmarks!C19</f>
        <v>-38.770000000000003</v>
      </c>
      <c r="D39" s="15" t="str">
        <f>Starts!K4</f>
        <v>800-S-2</v>
      </c>
      <c r="E39" s="1">
        <f>Starts!N4</f>
        <v>80.698058312479688</v>
      </c>
      <c r="F39" s="14">
        <f>Starts!O4</f>
        <v>-40.029274186384576</v>
      </c>
      <c r="G39" s="27">
        <f t="shared" si="6"/>
        <v>28.000273092356284</v>
      </c>
      <c r="H39">
        <v>28</v>
      </c>
      <c r="I39" s="14">
        <f t="shared" si="7"/>
        <v>2.7309235628436568E-4</v>
      </c>
    </row>
    <row r="40" spans="1:9" x14ac:dyDescent="0.2">
      <c r="A40" s="15" t="str">
        <f>Landmarks!A19</f>
        <v>NIC (400)</v>
      </c>
      <c r="B40">
        <f>Landmarks!B19</f>
        <v>108.67</v>
      </c>
      <c r="C40" s="23">
        <f>Landmarks!C19</f>
        <v>-38.770000000000003</v>
      </c>
      <c r="D40" s="15" t="str">
        <f>Starts!K5</f>
        <v>800-S-3</v>
      </c>
      <c r="E40" s="1">
        <f>Starts!N5</f>
        <v>84.485407295508381</v>
      </c>
      <c r="F40" s="14">
        <f>Starts!O5</f>
        <v>-40.727812217394366</v>
      </c>
      <c r="G40" s="27">
        <f t="shared" si="6"/>
        <v>24.263708557447025</v>
      </c>
      <c r="H40">
        <v>24.24</v>
      </c>
      <c r="I40" s="14">
        <f t="shared" si="7"/>
        <v>2.3708557447026379E-2</v>
      </c>
    </row>
    <row r="41" spans="1:9" x14ac:dyDescent="0.2">
      <c r="A41" s="15" t="str">
        <f>Landmarks!A19</f>
        <v>NIC (400)</v>
      </c>
      <c r="B41">
        <f>Landmarks!B19</f>
        <v>108.67</v>
      </c>
      <c r="C41" s="23">
        <f>Landmarks!C19</f>
        <v>-38.770000000000003</v>
      </c>
      <c r="D41" s="15" t="str">
        <f>Starts!K6</f>
        <v>800-S-4</v>
      </c>
      <c r="E41" s="1">
        <f>Starts!N6</f>
        <v>88.216904887867315</v>
      </c>
      <c r="F41" s="14">
        <f>Starts!O6</f>
        <v>-41.118411030354849</v>
      </c>
      <c r="G41" s="27">
        <f t="shared" si="6"/>
        <v>20.587475173839028</v>
      </c>
      <c r="H41">
        <v>20.53</v>
      </c>
      <c r="I41" s="14">
        <f t="shared" si="7"/>
        <v>5.7475173839026894E-2</v>
      </c>
    </row>
    <row r="42" spans="1:9" x14ac:dyDescent="0.2">
      <c r="A42" s="15" t="str">
        <f>Landmarks!A19</f>
        <v>NIC (400)</v>
      </c>
      <c r="B42">
        <f>Landmarks!B19</f>
        <v>108.67</v>
      </c>
      <c r="C42" s="23">
        <f>Landmarks!C19</f>
        <v>-38.770000000000003</v>
      </c>
      <c r="D42" s="15" t="str">
        <f>Starts!K7</f>
        <v>800-S-5</v>
      </c>
      <c r="E42" s="1">
        <f>Starts!N7</f>
        <v>91.938978820096153</v>
      </c>
      <c r="F42" s="14">
        <f>Starts!O7</f>
        <v>-41.208071253970353</v>
      </c>
      <c r="G42" s="27">
        <f t="shared" si="6"/>
        <v>16.907727853316889</v>
      </c>
      <c r="H42">
        <v>16.86</v>
      </c>
      <c r="I42" s="14">
        <f t="shared" si="7"/>
        <v>4.7727853316889224E-2</v>
      </c>
    </row>
    <row r="43" spans="1:9" x14ac:dyDescent="0.2">
      <c r="A43" s="15" t="str">
        <f>Landmarks!A19</f>
        <v>NIC (400)</v>
      </c>
      <c r="B43">
        <f>Landmarks!B19</f>
        <v>108.67</v>
      </c>
      <c r="C43" s="23">
        <f>Landmarks!C19</f>
        <v>-38.770000000000003</v>
      </c>
      <c r="D43" s="15" t="str">
        <f>Starts!K8</f>
        <v>800-S-6</v>
      </c>
      <c r="E43" s="1">
        <f>Starts!N8</f>
        <v>95.595271445875511</v>
      </c>
      <c r="F43" s="14">
        <f>Starts!O8</f>
        <v>-41.027075451902661</v>
      </c>
      <c r="G43" s="27">
        <f t="shared" si="6"/>
        <v>13.268116533993055</v>
      </c>
      <c r="H43">
        <v>13.25</v>
      </c>
      <c r="I43" s="14">
        <f t="shared" si="7"/>
        <v>1.8116533993055128E-2</v>
      </c>
    </row>
    <row r="44" spans="1:9" x14ac:dyDescent="0.2">
      <c r="A44" s="15" t="str">
        <f>Landmarks!A19</f>
        <v>NIC (400)</v>
      </c>
      <c r="B44">
        <f>Landmarks!B19</f>
        <v>108.67</v>
      </c>
      <c r="C44" s="23">
        <f>Landmarks!C19</f>
        <v>-38.770000000000003</v>
      </c>
      <c r="D44" s="15" t="str">
        <f>Starts!K9</f>
        <v>800-S-7</v>
      </c>
      <c r="E44" s="1">
        <f>Starts!N9</f>
        <v>99.145880032316171</v>
      </c>
      <c r="F44" s="14">
        <f>Starts!O9</f>
        <v>-40.611475028459019</v>
      </c>
      <c r="G44" s="27">
        <f t="shared" si="6"/>
        <v>9.7005098546041371</v>
      </c>
      <c r="H44">
        <v>9.69</v>
      </c>
      <c r="I44" s="14">
        <f t="shared" si="7"/>
        <v>1.0509854604137558E-2</v>
      </c>
    </row>
    <row r="45" spans="1:9" ht="17" thickBot="1" x14ac:dyDescent="0.25">
      <c r="A45" s="16" t="str">
        <f>Landmarks!A19</f>
        <v>NIC (400)</v>
      </c>
      <c r="B45" s="17">
        <f>Landmarks!B19</f>
        <v>108.67</v>
      </c>
      <c r="C45" s="24">
        <f>Landmarks!C19</f>
        <v>-38.770000000000003</v>
      </c>
      <c r="D45" s="16" t="str">
        <f>Starts!K10</f>
        <v>800-S-8</v>
      </c>
      <c r="E45" s="18">
        <f>Starts!N10</f>
        <v>102.58321406925162</v>
      </c>
      <c r="F45" s="19">
        <f>Starts!O10</f>
        <v>-39.986993520288692</v>
      </c>
      <c r="G45" s="28">
        <f t="shared" si="6"/>
        <v>6.2072567366898106</v>
      </c>
      <c r="H45" s="17">
        <v>6.18</v>
      </c>
      <c r="I45" s="19">
        <f t="shared" si="7"/>
        <v>2.7256736689810879E-2</v>
      </c>
    </row>
    <row r="46" spans="1:9" x14ac:dyDescent="0.2">
      <c r="A46" s="15" t="str">
        <f>Landmarks!A18</f>
        <v>NIC (800)</v>
      </c>
      <c r="B46">
        <f>Landmarks!B18</f>
        <v>94.11</v>
      </c>
      <c r="C46" s="23">
        <f>Landmarks!C18</f>
        <v>-47.14</v>
      </c>
      <c r="D46" s="15" t="str">
        <f>Starts!F3</f>
        <v>400-1</v>
      </c>
      <c r="E46" s="1">
        <f>Starts!I3</f>
        <v>76.890000000000015</v>
      </c>
      <c r="F46" s="14">
        <f>Starts!J3</f>
        <v>-38.99</v>
      </c>
      <c r="G46" s="27">
        <f t="shared" si="6"/>
        <v>19.051270298854075</v>
      </c>
      <c r="H46">
        <v>19.05</v>
      </c>
      <c r="I46" s="14">
        <f t="shared" si="7"/>
        <v>1.2702988540738147E-3</v>
      </c>
    </row>
    <row r="47" spans="1:9" x14ac:dyDescent="0.2">
      <c r="A47" s="15" t="str">
        <f>Landmarks!A19</f>
        <v>NIC (400)</v>
      </c>
      <c r="B47">
        <f>Landmarks!B19</f>
        <v>108.67</v>
      </c>
      <c r="C47" s="23">
        <f>Landmarks!C19</f>
        <v>-38.770000000000003</v>
      </c>
      <c r="D47" s="15" t="str">
        <f>Starts!F4</f>
        <v>400-2</v>
      </c>
      <c r="E47" s="1">
        <f>Starts!I4</f>
        <v>84.471885615915909</v>
      </c>
      <c r="F47" s="14">
        <f>Starts!J4</f>
        <v>-39.488721307572973</v>
      </c>
      <c r="G47" s="27">
        <f t="shared" si="6"/>
        <v>24.208785596621258</v>
      </c>
      <c r="H47">
        <v>24.22</v>
      </c>
      <c r="I47" s="14">
        <f t="shared" si="7"/>
        <v>-1.1214403378740911E-2</v>
      </c>
    </row>
    <row r="48" spans="1:9" x14ac:dyDescent="0.2">
      <c r="A48" s="15" t="str">
        <f>Landmarks!A19</f>
        <v>NIC (400)</v>
      </c>
      <c r="B48">
        <f>Landmarks!B19</f>
        <v>108.67</v>
      </c>
      <c r="C48" s="23">
        <f>Landmarks!C19</f>
        <v>-38.770000000000003</v>
      </c>
      <c r="D48" s="15" t="str">
        <f>Starts!F5</f>
        <v>400-3</v>
      </c>
      <c r="E48" s="1">
        <f>Starts!I5</f>
        <v>91.804781194531714</v>
      </c>
      <c r="F48" s="14">
        <f>Starts!J5</f>
        <v>-38.652221177045483</v>
      </c>
      <c r="G48" s="27">
        <f t="shared" si="6"/>
        <v>16.865630056640569</v>
      </c>
      <c r="H48">
        <v>16.87</v>
      </c>
      <c r="I48" s="14">
        <f t="shared" si="7"/>
        <v>-4.3699433594319714E-3</v>
      </c>
    </row>
    <row r="49" spans="1:9" x14ac:dyDescent="0.2">
      <c r="A49" s="15" t="str">
        <f>Landmarks!A19</f>
        <v>NIC (400)</v>
      </c>
      <c r="B49">
        <f>Landmarks!B19</f>
        <v>108.67</v>
      </c>
      <c r="C49" s="23">
        <f>Landmarks!C19</f>
        <v>-38.770000000000003</v>
      </c>
      <c r="D49" s="15" t="str">
        <f>Starts!F6</f>
        <v>400-4</v>
      </c>
      <c r="E49" s="1">
        <f>Starts!I6</f>
        <v>98.69609026380661</v>
      </c>
      <c r="F49" s="14">
        <f>Starts!J6</f>
        <v>-36.654016524887396</v>
      </c>
      <c r="G49" s="27">
        <f t="shared" si="6"/>
        <v>10.195894344915651</v>
      </c>
      <c r="H49">
        <v>10.199999999999999</v>
      </c>
      <c r="I49" s="14">
        <f t="shared" si="7"/>
        <v>-4.1056550843485695E-3</v>
      </c>
    </row>
    <row r="50" spans="1:9" x14ac:dyDescent="0.2">
      <c r="A50" s="15" t="str">
        <f>Landmarks!A18</f>
        <v>NIC (800)</v>
      </c>
      <c r="B50">
        <f>Landmarks!B18</f>
        <v>94.11</v>
      </c>
      <c r="C50" s="23">
        <f>Landmarks!C18</f>
        <v>-47.14</v>
      </c>
      <c r="D50" s="15" t="str">
        <f>Starts!F7</f>
        <v>400-5</v>
      </c>
      <c r="E50" s="1">
        <f>Starts!I7</f>
        <v>105.00915697117684</v>
      </c>
      <c r="F50" s="14">
        <f>Starts!J7</f>
        <v>-33.673281860108567</v>
      </c>
      <c r="G50" s="27">
        <f t="shared" si="6"/>
        <v>17.3246679662738</v>
      </c>
      <c r="H50">
        <v>17.32</v>
      </c>
      <c r="I50" s="14">
        <f t="shared" si="7"/>
        <v>4.6679662738000616E-3</v>
      </c>
    </row>
    <row r="51" spans="1:9" x14ac:dyDescent="0.2">
      <c r="A51" s="15" t="str">
        <f>Landmarks!A19</f>
        <v>NIC (400)</v>
      </c>
      <c r="B51">
        <f>Landmarks!B19</f>
        <v>108.67</v>
      </c>
      <c r="C51" s="23">
        <f>Landmarks!C19</f>
        <v>-38.770000000000003</v>
      </c>
      <c r="D51" s="15" t="str">
        <f>Starts!F8</f>
        <v>400-6</v>
      </c>
      <c r="E51" s="1">
        <f>Starts!I8</f>
        <v>110.65390733537667</v>
      </c>
      <c r="F51" s="14">
        <f>Starts!J8</f>
        <v>-29.884890186314838</v>
      </c>
      <c r="G51" s="27">
        <f t="shared" si="6"/>
        <v>9.103903817407442</v>
      </c>
      <c r="H51">
        <v>9.1</v>
      </c>
      <c r="I51" s="14">
        <f t="shared" si="7"/>
        <v>3.9038174074423893E-3</v>
      </c>
    </row>
    <row r="52" spans="1:9" x14ac:dyDescent="0.2">
      <c r="A52" s="15" t="str">
        <f>Landmarks!A19</f>
        <v>NIC (400)</v>
      </c>
      <c r="B52">
        <f>Landmarks!B19</f>
        <v>108.67</v>
      </c>
      <c r="C52" s="23">
        <f>Landmarks!C19</f>
        <v>-38.770000000000003</v>
      </c>
      <c r="D52" s="15" t="str">
        <f>Starts!F9</f>
        <v>400-7</v>
      </c>
      <c r="E52" s="1">
        <f>Starts!I9</f>
        <v>115.57793869720453</v>
      </c>
      <c r="F52" s="14">
        <f>Starts!J9</f>
        <v>-25.453084279932426</v>
      </c>
      <c r="G52" s="27">
        <f t="shared" si="6"/>
        <v>15.001995245290498</v>
      </c>
      <c r="H52">
        <v>15</v>
      </c>
      <c r="I52" s="14">
        <f t="shared" si="7"/>
        <v>1.9952452904981044E-3</v>
      </c>
    </row>
    <row r="53" spans="1:9" ht="17" thickBot="1" x14ac:dyDescent="0.25">
      <c r="A53" s="16" t="str">
        <f>Landmarks!A19</f>
        <v>NIC (400)</v>
      </c>
      <c r="B53" s="17">
        <f>Landmarks!B19</f>
        <v>108.67</v>
      </c>
      <c r="C53" s="24">
        <f>Landmarks!C19</f>
        <v>-38.770000000000003</v>
      </c>
      <c r="D53" s="16" t="str">
        <f>Starts!F10</f>
        <v>400-8</v>
      </c>
      <c r="E53" s="18">
        <f>Starts!I10</f>
        <v>119.75851470399607</v>
      </c>
      <c r="F53" s="19">
        <f>Starts!J10</f>
        <v>-20.527818858156163</v>
      </c>
      <c r="G53" s="28">
        <f t="shared" si="6"/>
        <v>21.347888212949311</v>
      </c>
      <c r="H53" s="17">
        <v>21.34</v>
      </c>
      <c r="I53" s="19">
        <f t="shared" si="7"/>
        <v>7.8882129493109687E-3</v>
      </c>
    </row>
    <row r="54" spans="1:9" ht="17" thickBot="1" x14ac:dyDescent="0.25">
      <c r="B54"/>
      <c r="C54"/>
      <c r="E54"/>
      <c r="F54"/>
      <c r="I54" s="1"/>
    </row>
    <row r="55" spans="1:9" ht="17" thickBot="1" x14ac:dyDescent="0.25">
      <c r="A55" s="48" t="s">
        <v>69</v>
      </c>
      <c r="B55" s="53"/>
      <c r="C55" s="53"/>
      <c r="D55" s="53"/>
      <c r="E55" s="53"/>
      <c r="F55" s="53"/>
      <c r="G55" s="53"/>
      <c r="H55" s="53"/>
      <c r="I55" s="49"/>
    </row>
    <row r="56" spans="1:9" x14ac:dyDescent="0.2">
      <c r="A56" s="20" t="str">
        <f>Landmarks!A21</f>
        <v>DH (Y)</v>
      </c>
      <c r="B56" s="9">
        <f>Landmarks!B21</f>
        <v>126.54</v>
      </c>
      <c r="C56" s="25">
        <f>Landmarks!C21</f>
        <v>0</v>
      </c>
      <c r="D56" s="20" t="str">
        <f>Relays!A3</f>
        <v>R-S-1-1</v>
      </c>
      <c r="E56" s="10">
        <f>Relays!D3</f>
        <v>111.6406603040468</v>
      </c>
      <c r="F56" s="11">
        <f>Relays!E3</f>
        <v>17.680828838964135</v>
      </c>
      <c r="G56" s="26">
        <f t="shared" ref="G56" si="8">SQRT((E56-B56)^2+(F56-C56)^2)</f>
        <v>23.121462579347195</v>
      </c>
      <c r="H56" s="9">
        <v>23.12</v>
      </c>
      <c r="I56" s="11">
        <f>G56-H56</f>
        <v>1.4625793471942927E-3</v>
      </c>
    </row>
    <row r="57" spans="1:9" x14ac:dyDescent="0.2">
      <c r="A57" s="15" t="str">
        <f>Landmarks!A21</f>
        <v>DH (Y)</v>
      </c>
      <c r="B57">
        <f>Landmarks!B21</f>
        <v>126.54</v>
      </c>
      <c r="C57" s="23">
        <f>Landmarks!C21</f>
        <v>0</v>
      </c>
      <c r="D57" s="15" t="str">
        <f>Relays!A4</f>
        <v>R-S-1-2</v>
      </c>
      <c r="E57" s="1">
        <f>Relays!D4</f>
        <v>110.10586943978981</v>
      </c>
      <c r="F57" s="14">
        <f>Relays!E4</f>
        <v>22.661644189220642</v>
      </c>
      <c r="G57" s="27">
        <f t="shared" ref="G57:G71" si="9">SQRT((E57-B57)^2+(F57-C57)^2)</f>
        <v>27.99340573472389</v>
      </c>
      <c r="H57">
        <v>27.99</v>
      </c>
      <c r="I57" s="14">
        <f t="shared" ref="I57:I111" si="10">G57-H57</f>
        <v>3.4057347238913849E-3</v>
      </c>
    </row>
    <row r="58" spans="1:9" x14ac:dyDescent="0.2">
      <c r="A58" s="15" t="str">
        <f>Landmarks!A21</f>
        <v>DH (Y)</v>
      </c>
      <c r="B58">
        <f>Landmarks!B21</f>
        <v>126.54</v>
      </c>
      <c r="C58" s="23">
        <f>Landmarks!C21</f>
        <v>0</v>
      </c>
      <c r="D58" s="15" t="str">
        <f>Relays!A5</f>
        <v>R-S-1-3</v>
      </c>
      <c r="E58" s="1">
        <f>Relays!D5</f>
        <v>108.0572329557146</v>
      </c>
      <c r="F58" s="14">
        <f>Relays!E5</f>
        <v>27.295576379410232</v>
      </c>
      <c r="G58" s="27">
        <f t="shared" si="9"/>
        <v>32.964544096612961</v>
      </c>
      <c r="H58">
        <v>32.96</v>
      </c>
      <c r="I58" s="14">
        <f t="shared" si="10"/>
        <v>4.5440966129604021E-3</v>
      </c>
    </row>
    <row r="59" spans="1:9" x14ac:dyDescent="0.2">
      <c r="A59" s="15" t="str">
        <f>Landmarks!A17</f>
        <v>NIC (1500)</v>
      </c>
      <c r="B59">
        <f>Landmarks!B17</f>
        <v>119.75</v>
      </c>
      <c r="C59" s="23">
        <f>Landmarks!C17</f>
        <v>25.67</v>
      </c>
      <c r="D59" s="15" t="str">
        <f>Relays!A6</f>
        <v>R-S-1-4</v>
      </c>
      <c r="E59" s="1">
        <f>Relays!D6</f>
        <v>105.58016015318935</v>
      </c>
      <c r="F59" s="14">
        <f>Relays!E6</f>
        <v>31.557839127296809</v>
      </c>
      <c r="G59" s="27">
        <f t="shared" si="9"/>
        <v>15.344413018202749</v>
      </c>
      <c r="H59">
        <v>15.35</v>
      </c>
      <c r="I59" s="14">
        <f t="shared" si="10"/>
        <v>-5.5869817972507008E-3</v>
      </c>
    </row>
    <row r="60" spans="1:9" x14ac:dyDescent="0.2">
      <c r="A60" s="15" t="str">
        <f>Landmarks!A17</f>
        <v>NIC (1500)</v>
      </c>
      <c r="B60">
        <f>Landmarks!B17</f>
        <v>119.75</v>
      </c>
      <c r="C60" s="23">
        <f>Landmarks!C17</f>
        <v>25.67</v>
      </c>
      <c r="D60" s="15" t="str">
        <f>Relays!A7</f>
        <v>R-S-1-5</v>
      </c>
      <c r="E60" s="1">
        <f>Relays!D7</f>
        <v>102.75141148499223</v>
      </c>
      <c r="F60" s="14">
        <f>Relays!E7</f>
        <v>35.436764750805224</v>
      </c>
      <c r="G60" s="27">
        <f t="shared" si="9"/>
        <v>19.604634788746395</v>
      </c>
      <c r="H60">
        <v>19.600000000000001</v>
      </c>
      <c r="I60" s="14">
        <f t="shared" si="10"/>
        <v>4.6347887463937809E-3</v>
      </c>
    </row>
    <row r="61" spans="1:9" x14ac:dyDescent="0.2">
      <c r="A61" s="15" t="str">
        <f>Landmarks!A17</f>
        <v>NIC (1500)</v>
      </c>
      <c r="B61">
        <f>Landmarks!B17</f>
        <v>119.75</v>
      </c>
      <c r="C61" s="23">
        <f>Landmarks!C17</f>
        <v>25.67</v>
      </c>
      <c r="D61" s="15" t="str">
        <f>Relays!A8</f>
        <v>R-S-1-6</v>
      </c>
      <c r="E61" s="1">
        <f>Relays!D8</f>
        <v>99.63903574142131</v>
      </c>
      <c r="F61" s="14">
        <f>Relays!E8</f>
        <v>38.930572469917976</v>
      </c>
      <c r="G61" s="27">
        <f t="shared" si="9"/>
        <v>24.08928528702701</v>
      </c>
      <c r="H61">
        <v>24.09</v>
      </c>
      <c r="I61" s="14">
        <f t="shared" si="10"/>
        <v>-7.1471297298941749E-4</v>
      </c>
    </row>
    <row r="62" spans="1:9" x14ac:dyDescent="0.2">
      <c r="A62" s="15" t="str">
        <f>Landmarks!A17</f>
        <v>NIC (1500)</v>
      </c>
      <c r="B62">
        <f>Landmarks!B17</f>
        <v>119.75</v>
      </c>
      <c r="C62" s="23">
        <f>Landmarks!C17</f>
        <v>25.67</v>
      </c>
      <c r="D62" s="15" t="str">
        <f>Relays!A9</f>
        <v>R-S-1-7</v>
      </c>
      <c r="E62" s="1">
        <f>Relays!D9</f>
        <v>96.302699184826693</v>
      </c>
      <c r="F62" s="14">
        <f>Relays!E9</f>
        <v>42.044776255314147</v>
      </c>
      <c r="G62" s="27">
        <f t="shared" si="9"/>
        <v>28.599112100357708</v>
      </c>
      <c r="H62">
        <v>28.6</v>
      </c>
      <c r="I62" s="14">
        <f t="shared" si="10"/>
        <v>-8.878996422936325E-4</v>
      </c>
    </row>
    <row r="63" spans="1:9" ht="17" thickBot="1" x14ac:dyDescent="0.25">
      <c r="A63" s="16" t="str">
        <f>Landmarks!A17</f>
        <v>NIC (1500)</v>
      </c>
      <c r="B63" s="17">
        <f>Landmarks!B17</f>
        <v>119.75</v>
      </c>
      <c r="C63" s="24">
        <f>Landmarks!C17</f>
        <v>25.67</v>
      </c>
      <c r="D63" s="16" t="str">
        <f>Relays!A10</f>
        <v>R-S-1-8</v>
      </c>
      <c r="E63" s="18">
        <f>Relays!D10</f>
        <v>92.794242227277053</v>
      </c>
      <c r="F63" s="19">
        <f>Relays!E10</f>
        <v>44.790132609494435</v>
      </c>
      <c r="G63" s="28">
        <f t="shared" si="9"/>
        <v>33.048333514813812</v>
      </c>
      <c r="H63" s="17">
        <v>33.04</v>
      </c>
      <c r="I63" s="19">
        <f t="shared" si="10"/>
        <v>8.3335148138132809E-3</v>
      </c>
    </row>
    <row r="64" spans="1:9" x14ac:dyDescent="0.2">
      <c r="A64" s="20" t="str">
        <f>Landmarks!A17</f>
        <v>NIC (1500)</v>
      </c>
      <c r="B64" s="9">
        <f>Landmarks!B17</f>
        <v>119.75</v>
      </c>
      <c r="C64" s="25">
        <f>Landmarks!C17</f>
        <v>25.67</v>
      </c>
      <c r="D64" s="20" t="str">
        <f>Relays!A11</f>
        <v>R-M-1-1</v>
      </c>
      <c r="E64" s="10">
        <f>Relays!D11</f>
        <v>98.576239608110257</v>
      </c>
      <c r="F64" s="11">
        <f>Relays!E11</f>
        <v>32.402578781011094</v>
      </c>
      <c r="G64" s="26">
        <f t="shared" si="9"/>
        <v>22.218365065316569</v>
      </c>
      <c r="H64" s="9">
        <v>22.22</v>
      </c>
      <c r="I64" s="11">
        <f t="shared" si="10"/>
        <v>-1.6349346834303446E-3</v>
      </c>
    </row>
    <row r="65" spans="1:9" x14ac:dyDescent="0.2">
      <c r="A65" s="15" t="str">
        <f>Landmarks!A17</f>
        <v>NIC (1500)</v>
      </c>
      <c r="B65">
        <f>Landmarks!B17</f>
        <v>119.75</v>
      </c>
      <c r="C65" s="23">
        <f>Landmarks!C17</f>
        <v>25.67</v>
      </c>
      <c r="D65" s="15" t="str">
        <f>Relays!A12</f>
        <v>R-M-1-2</v>
      </c>
      <c r="E65" s="1">
        <f>Relays!D12</f>
        <v>95.356535099252511</v>
      </c>
      <c r="F65" s="14">
        <f>Relays!E12</f>
        <v>35.718779114466876</v>
      </c>
      <c r="G65" s="27">
        <f t="shared" si="9"/>
        <v>26.38217374583348</v>
      </c>
      <c r="H65">
        <v>26.38</v>
      </c>
      <c r="I65" s="14">
        <f t="shared" si="10"/>
        <v>2.1737458334811777E-3</v>
      </c>
    </row>
    <row r="66" spans="1:9" x14ac:dyDescent="0.2">
      <c r="A66" s="15" t="str">
        <f>Landmarks!A17</f>
        <v>NIC (1500)</v>
      </c>
      <c r="B66">
        <f>Landmarks!B17</f>
        <v>119.75</v>
      </c>
      <c r="C66" s="23">
        <f>Landmarks!C17</f>
        <v>25.67</v>
      </c>
      <c r="D66" s="15" t="str">
        <f>Relays!A13</f>
        <v>R-M-1-3</v>
      </c>
      <c r="E66" s="1">
        <f>Relays!D13</f>
        <v>91.914326843467833</v>
      </c>
      <c r="F66" s="14">
        <f>Relays!E13</f>
        <v>38.609772116663052</v>
      </c>
      <c r="G66" s="27">
        <f t="shared" si="9"/>
        <v>30.696292976652018</v>
      </c>
      <c r="H66">
        <v>30.7</v>
      </c>
      <c r="I66" s="14">
        <f t="shared" si="10"/>
        <v>-3.707023347981675E-3</v>
      </c>
    </row>
    <row r="67" spans="1:9" x14ac:dyDescent="0.2">
      <c r="A67" s="15" t="str">
        <f>Landmarks!A17</f>
        <v>NIC (1500)</v>
      </c>
      <c r="B67">
        <f>Landmarks!B17</f>
        <v>119.75</v>
      </c>
      <c r="C67" s="23">
        <f>Landmarks!C17</f>
        <v>25.67</v>
      </c>
      <c r="D67" s="15" t="str">
        <f>Relays!A14</f>
        <v>R-M-1-4</v>
      </c>
      <c r="E67" s="1">
        <f>Relays!D14</f>
        <v>88.310962735096851</v>
      </c>
      <c r="F67" s="14">
        <f>Relays!E14</f>
        <v>41.092385063458273</v>
      </c>
      <c r="G67" s="27">
        <f t="shared" si="9"/>
        <v>35.018038568565629</v>
      </c>
      <c r="H67">
        <v>35.020000000000003</v>
      </c>
      <c r="I67" s="14">
        <f t="shared" si="10"/>
        <v>-1.9614314343741057E-3</v>
      </c>
    </row>
    <row r="68" spans="1:9" x14ac:dyDescent="0.2">
      <c r="A68" s="15" t="str">
        <f>Landmarks!A9</f>
        <v>DH (SP2)</v>
      </c>
      <c r="B68">
        <f>Landmarks!B9</f>
        <v>50.93</v>
      </c>
      <c r="C68" s="23">
        <f>Landmarks!C9</f>
        <v>33.190000000000005</v>
      </c>
      <c r="D68" s="15" t="str">
        <f>Relays!A15</f>
        <v>R-M-1-5</v>
      </c>
      <c r="E68" s="1">
        <f>Relays!D15</f>
        <v>84.597992517387055</v>
      </c>
      <c r="F68" s="14">
        <f>Relays!E15</f>
        <v>43.18754162199911</v>
      </c>
      <c r="G68" s="27">
        <f t="shared" si="9"/>
        <v>35.120998827402893</v>
      </c>
      <c r="H68">
        <v>35.119999999999997</v>
      </c>
      <c r="I68" s="14">
        <f t="shared" si="10"/>
        <v>9.9882740289558569E-4</v>
      </c>
    </row>
    <row r="69" spans="1:9" x14ac:dyDescent="0.2">
      <c r="A69" s="15" t="str">
        <f>Landmarks!A9</f>
        <v>DH (SP2)</v>
      </c>
      <c r="B69">
        <f>Landmarks!B9</f>
        <v>50.93</v>
      </c>
      <c r="C69" s="23">
        <f>Landmarks!C9</f>
        <v>33.190000000000005</v>
      </c>
      <c r="D69" s="15" t="str">
        <f>Relays!A16</f>
        <v>R-M-1-6</v>
      </c>
      <c r="E69" s="1">
        <f>Relays!D16</f>
        <v>80.818359557017502</v>
      </c>
      <c r="F69" s="14">
        <f>Relays!E16</f>
        <v>44.918549522338637</v>
      </c>
      <c r="G69" s="27">
        <f t="shared" si="9"/>
        <v>32.107209640632263</v>
      </c>
      <c r="H69">
        <v>32.11</v>
      </c>
      <c r="I69" s="14">
        <f t="shared" si="10"/>
        <v>-2.7903593677365279E-3</v>
      </c>
    </row>
    <row r="70" spans="1:9" x14ac:dyDescent="0.2">
      <c r="A70" s="15" t="str">
        <f>Landmarks!A9</f>
        <v>DH (SP2)</v>
      </c>
      <c r="B70">
        <f>Landmarks!B9</f>
        <v>50.93</v>
      </c>
      <c r="C70" s="23">
        <f>Landmarks!C9</f>
        <v>33.190000000000005</v>
      </c>
      <c r="D70" s="15" t="str">
        <f>Relays!A17</f>
        <v>R-M-1-7</v>
      </c>
      <c r="E70" s="1">
        <f>Relays!D17</f>
        <v>77.007542064603385</v>
      </c>
      <c r="F70" s="14">
        <f>Relays!E17</f>
        <v>46.309850829635032</v>
      </c>
      <c r="G70" s="27">
        <f t="shared" si="9"/>
        <v>29.19192843789245</v>
      </c>
      <c r="H70">
        <v>29.2</v>
      </c>
      <c r="I70" s="14">
        <f t="shared" si="10"/>
        <v>-8.0715621075491129E-3</v>
      </c>
    </row>
    <row r="71" spans="1:9" ht="17" thickBot="1" x14ac:dyDescent="0.25">
      <c r="A71" s="16" t="str">
        <f>Landmarks!A9</f>
        <v>DH (SP2)</v>
      </c>
      <c r="B71" s="17">
        <f>Landmarks!B9</f>
        <v>50.93</v>
      </c>
      <c r="C71" s="24">
        <f>Landmarks!C9</f>
        <v>33.190000000000005</v>
      </c>
      <c r="D71" s="16" t="str">
        <f>Relays!A18</f>
        <v>R-M-1-8</v>
      </c>
      <c r="E71" s="18">
        <f>Relays!D18</f>
        <v>73.175306785435168</v>
      </c>
      <c r="F71" s="19">
        <f>Relays!E18</f>
        <v>47.529999999999994</v>
      </c>
      <c r="G71" s="28">
        <f t="shared" si="9"/>
        <v>26.46675790455128</v>
      </c>
      <c r="H71" s="17">
        <v>26.48</v>
      </c>
      <c r="I71" s="19">
        <f t="shared" si="10"/>
        <v>-1.3242095448720903E-2</v>
      </c>
    </row>
    <row r="72" spans="1:9" x14ac:dyDescent="0.2">
      <c r="A72" s="20" t="str">
        <f>Landmarks!A9</f>
        <v>DH (SP2)</v>
      </c>
      <c r="B72" s="9">
        <f>Landmarks!B9</f>
        <v>50.93</v>
      </c>
      <c r="C72" s="25">
        <f>Landmarks!C9</f>
        <v>33.190000000000005</v>
      </c>
      <c r="D72" s="20" t="str">
        <f>Relays!A19</f>
        <v>R-E-1-1</v>
      </c>
      <c r="E72" s="10">
        <f>Relays!D19</f>
        <v>89.695421452194694</v>
      </c>
      <c r="F72" s="11">
        <f>Relays!E19</f>
        <v>36.827181285453712</v>
      </c>
      <c r="G72" s="26">
        <f t="shared" ref="G72:G111" si="11">SQRT((E72-B72)^2+(F72-C72)^2)</f>
        <v>38.935677573011766</v>
      </c>
      <c r="H72" s="9">
        <v>38.93</v>
      </c>
      <c r="I72" s="11">
        <f t="shared" si="10"/>
        <v>5.6775730117664125E-3</v>
      </c>
    </row>
    <row r="73" spans="1:9" x14ac:dyDescent="0.2">
      <c r="A73" s="15" t="str">
        <f>Landmarks!A9</f>
        <v>DH (SP2)</v>
      </c>
      <c r="B73">
        <f>Landmarks!B9</f>
        <v>50.93</v>
      </c>
      <c r="C73" s="23">
        <f>Landmarks!C9</f>
        <v>33.190000000000005</v>
      </c>
      <c r="D73" s="15" t="str">
        <f>Relays!A20</f>
        <v>R-E-1-2</v>
      </c>
      <c r="E73" s="1">
        <f>Relays!D20</f>
        <v>86.044831287051025</v>
      </c>
      <c r="F73" s="14">
        <f>Relays!E20</f>
        <v>39.153967412072454</v>
      </c>
      <c r="G73" s="27">
        <f t="shared" si="11"/>
        <v>35.617696214246081</v>
      </c>
      <c r="H73">
        <v>35.619999999999997</v>
      </c>
      <c r="I73" s="14">
        <f t="shared" si="10"/>
        <v>-2.3037857539165429E-3</v>
      </c>
    </row>
    <row r="74" spans="1:9" x14ac:dyDescent="0.2">
      <c r="A74" s="15" t="str">
        <f>Landmarks!A9</f>
        <v>DH (SP2)</v>
      </c>
      <c r="B74">
        <f>Landmarks!B9</f>
        <v>50.93</v>
      </c>
      <c r="C74" s="23">
        <f>Landmarks!C9</f>
        <v>33.190000000000005</v>
      </c>
      <c r="D74" s="15" t="str">
        <f>Relays!A21</f>
        <v>R-E-1-3</v>
      </c>
      <c r="E74" s="1">
        <f>Relays!D21</f>
        <v>82.297372284254024</v>
      </c>
      <c r="F74" s="14">
        <f>Relays!E21</f>
        <v>41.075603768897679</v>
      </c>
      <c r="G74" s="27">
        <f t="shared" si="11"/>
        <v>32.343388672478966</v>
      </c>
      <c r="H74">
        <v>32.35</v>
      </c>
      <c r="I74" s="14">
        <f t="shared" si="10"/>
        <v>-6.6113275210355482E-3</v>
      </c>
    </row>
    <row r="75" spans="1:9" x14ac:dyDescent="0.2">
      <c r="A75" s="15" t="str">
        <f>Landmarks!A9</f>
        <v>DH (SP2)</v>
      </c>
      <c r="B75">
        <f>Landmarks!B9</f>
        <v>50.93</v>
      </c>
      <c r="C75" s="23">
        <f>Landmarks!C9</f>
        <v>33.190000000000005</v>
      </c>
      <c r="D75" s="15" t="str">
        <f>Relays!A22</f>
        <v>R-E-1-4</v>
      </c>
      <c r="E75" s="1">
        <f>Relays!D22</f>
        <v>78.498353596358044</v>
      </c>
      <c r="F75" s="14">
        <f>Relays!E22</f>
        <v>42.619663287138742</v>
      </c>
      <c r="G75" s="27">
        <f t="shared" si="11"/>
        <v>29.136449161190519</v>
      </c>
      <c r="H75">
        <v>29.14</v>
      </c>
      <c r="I75" s="14">
        <f t="shared" si="10"/>
        <v>-3.5508388094811494E-3</v>
      </c>
    </row>
    <row r="76" spans="1:9" x14ac:dyDescent="0.2">
      <c r="A76" s="15" t="str">
        <f>Landmarks!A9</f>
        <v>DH (SP2)</v>
      </c>
      <c r="B76">
        <f>Landmarks!B9</f>
        <v>50.93</v>
      </c>
      <c r="C76" s="23">
        <f>Landmarks!C9</f>
        <v>33.190000000000005</v>
      </c>
      <c r="D76" s="15" t="str">
        <f>Relays!A23</f>
        <v>R-E-1-5</v>
      </c>
      <c r="E76" s="1">
        <f>Relays!D23</f>
        <v>74.6735358975738</v>
      </c>
      <c r="F76" s="14">
        <f>Relays!E23</f>
        <v>43.87</v>
      </c>
      <c r="G76" s="27">
        <f t="shared" si="11"/>
        <v>26.034936084411182</v>
      </c>
      <c r="H76">
        <v>26.04</v>
      </c>
      <c r="I76" s="14">
        <f t="shared" si="10"/>
        <v>-5.0639155888170251E-3</v>
      </c>
    </row>
    <row r="77" spans="1:9" x14ac:dyDescent="0.2">
      <c r="A77" s="15" t="str">
        <f>Landmarks!A9</f>
        <v>DH (SP2)</v>
      </c>
      <c r="B77">
        <f>Landmarks!B9</f>
        <v>50.93</v>
      </c>
      <c r="C77" s="23">
        <f>Landmarks!C9</f>
        <v>33.190000000000005</v>
      </c>
      <c r="D77" s="15" t="str">
        <f>Relays!A24</f>
        <v>R-E-1-6</v>
      </c>
      <c r="E77" s="1">
        <f>Relays!D24</f>
        <v>70.840792860194256</v>
      </c>
      <c r="F77" s="14">
        <f>Relays!E24</f>
        <v>45.089999999999996</v>
      </c>
      <c r="G77" s="27">
        <f t="shared" si="11"/>
        <v>23.19589774769587</v>
      </c>
      <c r="H77">
        <v>23.21</v>
      </c>
      <c r="I77" s="14">
        <f t="shared" si="10"/>
        <v>-1.4102252304130758E-2</v>
      </c>
    </row>
    <row r="78" spans="1:9" x14ac:dyDescent="0.2">
      <c r="A78" s="15" t="str">
        <f>Landmarks!A9</f>
        <v>DH (SP2)</v>
      </c>
      <c r="B78">
        <f>Landmarks!B9</f>
        <v>50.93</v>
      </c>
      <c r="C78" s="23">
        <f>Landmarks!C9</f>
        <v>33.190000000000005</v>
      </c>
      <c r="D78" s="15" t="str">
        <f>Relays!A25</f>
        <v>R-E-1-7</v>
      </c>
      <c r="E78" s="1">
        <f>Relays!D25</f>
        <v>67.008049822814712</v>
      </c>
      <c r="F78" s="14">
        <f>Relays!E25</f>
        <v>46.309999999999995</v>
      </c>
      <c r="G78" s="27">
        <f t="shared" si="11"/>
        <v>20.751821271997116</v>
      </c>
      <c r="H78">
        <v>20.77</v>
      </c>
      <c r="I78" s="14">
        <f t="shared" si="10"/>
        <v>-1.817872800288356E-2</v>
      </c>
    </row>
    <row r="79" spans="1:9" ht="17" thickBot="1" x14ac:dyDescent="0.25">
      <c r="A79" s="16" t="str">
        <f>Landmarks!A9</f>
        <v>DH (SP2)</v>
      </c>
      <c r="B79" s="17">
        <f>Landmarks!B9</f>
        <v>50.93</v>
      </c>
      <c r="C79" s="24">
        <f>Landmarks!C9</f>
        <v>33.190000000000005</v>
      </c>
      <c r="D79" s="16" t="str">
        <f>Relays!A26</f>
        <v>R-E-1-8</v>
      </c>
      <c r="E79" s="18">
        <f>Relays!D26</f>
        <v>63.175306785435161</v>
      </c>
      <c r="F79" s="19">
        <f>Relays!E26</f>
        <v>47.529999999999994</v>
      </c>
      <c r="G79" s="28">
        <f t="shared" si="11"/>
        <v>18.856912214607782</v>
      </c>
      <c r="H79" s="17">
        <v>18.88</v>
      </c>
      <c r="I79" s="19">
        <f t="shared" si="10"/>
        <v>-2.3087785392217341E-2</v>
      </c>
    </row>
    <row r="80" spans="1:9" x14ac:dyDescent="0.2">
      <c r="A80" s="20" t="str">
        <f>Landmarks!A12</f>
        <v>NIP (A)</v>
      </c>
      <c r="B80" s="9">
        <f>Landmarks!B12</f>
        <v>0</v>
      </c>
      <c r="C80" s="25">
        <f>Landmarks!C12</f>
        <v>50.589999999999996</v>
      </c>
      <c r="D80" s="20" t="str">
        <f>Relays!F19</f>
        <v>R-E-2-1</v>
      </c>
      <c r="E80" s="10">
        <f>Relays!I19</f>
        <v>-9.8413541938670139</v>
      </c>
      <c r="F80" s="11">
        <f>Relays!J19</f>
        <v>37.727547596297008</v>
      </c>
      <c r="G80" s="26">
        <f t="shared" si="11"/>
        <v>16.195522041807379</v>
      </c>
      <c r="H80" s="9">
        <v>16.2</v>
      </c>
      <c r="I80" s="11">
        <f t="shared" si="10"/>
        <v>-4.4779581926199796E-3</v>
      </c>
    </row>
    <row r="81" spans="1:9" x14ac:dyDescent="0.2">
      <c r="A81" s="15" t="str">
        <f>Landmarks!A12</f>
        <v>NIP (A)</v>
      </c>
      <c r="B81">
        <f>Landmarks!B12</f>
        <v>0</v>
      </c>
      <c r="C81" s="23">
        <f>Landmarks!C12</f>
        <v>50.589999999999996</v>
      </c>
      <c r="D81" s="15" t="str">
        <f>Relays!F20</f>
        <v>R-E-2-2</v>
      </c>
      <c r="E81" s="1">
        <f>Relays!I20</f>
        <v>-13.497044173269423</v>
      </c>
      <c r="F81" s="14">
        <f>Relays!J20</f>
        <v>37.877089362632049</v>
      </c>
      <c r="G81" s="27">
        <f t="shared" si="11"/>
        <v>18.541529017017158</v>
      </c>
      <c r="H81">
        <v>18.54</v>
      </c>
      <c r="I81" s="14">
        <f t="shared" si="10"/>
        <v>1.5290170171589068E-3</v>
      </c>
    </row>
    <row r="82" spans="1:9" x14ac:dyDescent="0.2">
      <c r="A82" s="15" t="str">
        <f>Landmarks!A12</f>
        <v>NIP (A)</v>
      </c>
      <c r="B82">
        <f>Landmarks!B12</f>
        <v>0</v>
      </c>
      <c r="C82" s="23">
        <f>Landmarks!C12</f>
        <v>50.589999999999996</v>
      </c>
      <c r="D82" s="15" t="str">
        <f>Relays!F21</f>
        <v>R-E-2-3</v>
      </c>
      <c r="E82" s="1">
        <f>Relays!I21</f>
        <v>-17.057727163863781</v>
      </c>
      <c r="F82" s="14">
        <f>Relays!J21</f>
        <v>37.755514087391042</v>
      </c>
      <c r="G82" s="27">
        <f t="shared" si="11"/>
        <v>21.346898712407242</v>
      </c>
      <c r="H82">
        <v>21.35</v>
      </c>
      <c r="I82" s="14">
        <f t="shared" si="10"/>
        <v>-3.1012875927594052E-3</v>
      </c>
    </row>
    <row r="83" spans="1:9" x14ac:dyDescent="0.2">
      <c r="A83" s="15" t="str">
        <f>Landmarks!A12</f>
        <v>NIP (A)</v>
      </c>
      <c r="B83">
        <f>Landmarks!B12</f>
        <v>0</v>
      </c>
      <c r="C83" s="23">
        <f>Landmarks!C12</f>
        <v>50.589999999999996</v>
      </c>
      <c r="D83" s="15" t="str">
        <f>Relays!F22</f>
        <v>R-E-2-4</v>
      </c>
      <c r="E83" s="1">
        <f>Relays!I22</f>
        <v>-20.511433971699137</v>
      </c>
      <c r="F83" s="14">
        <f>Relays!J22</f>
        <v>37.393897582688894</v>
      </c>
      <c r="G83" s="27">
        <f t="shared" si="11"/>
        <v>24.389670817449286</v>
      </c>
      <c r="H83">
        <v>24.39</v>
      </c>
      <c r="I83" s="14">
        <f t="shared" si="10"/>
        <v>-3.2918255071479052E-4</v>
      </c>
    </row>
    <row r="84" spans="1:9" x14ac:dyDescent="0.2">
      <c r="A84" s="15" t="str">
        <f>Landmarks!A12</f>
        <v>NIP (A)</v>
      </c>
      <c r="B84">
        <f>Landmarks!B12</f>
        <v>0</v>
      </c>
      <c r="C84" s="23">
        <f>Landmarks!C12</f>
        <v>50.589999999999996</v>
      </c>
      <c r="D84" s="15" t="str">
        <f>Relays!F23</f>
        <v>R-E-2-5</v>
      </c>
      <c r="E84" s="1">
        <f>Relays!I23</f>
        <v>-23.85028117218069</v>
      </c>
      <c r="F84" s="14">
        <f>Relays!J23</f>
        <v>36.820388210988803</v>
      </c>
      <c r="G84" s="27">
        <f t="shared" si="11"/>
        <v>27.539755278726656</v>
      </c>
      <c r="H84">
        <v>27.54</v>
      </c>
      <c r="I84" s="14">
        <f t="shared" si="10"/>
        <v>-2.4472127334362881E-4</v>
      </c>
    </row>
    <row r="85" spans="1:9" x14ac:dyDescent="0.2">
      <c r="A85" s="15" t="str">
        <f>Landmarks!A12</f>
        <v>NIP (A)</v>
      </c>
      <c r="B85">
        <f>Landmarks!B12</f>
        <v>0</v>
      </c>
      <c r="C85" s="23">
        <f>Landmarks!C12</f>
        <v>50.589999999999996</v>
      </c>
      <c r="D85" s="15" t="str">
        <f>Relays!F24</f>
        <v>R-E-2-6</v>
      </c>
      <c r="E85" s="1">
        <f>Relays!I24</f>
        <v>-27.069568388811131</v>
      </c>
      <c r="F85" s="14">
        <f>Relays!J24</f>
        <v>36.060318457321983</v>
      </c>
      <c r="G85" s="27">
        <f t="shared" si="11"/>
        <v>30.722519077838669</v>
      </c>
      <c r="H85">
        <v>30.72</v>
      </c>
      <c r="I85" s="14">
        <f t="shared" si="10"/>
        <v>2.519077838670114E-3</v>
      </c>
    </row>
    <row r="86" spans="1:9" x14ac:dyDescent="0.2">
      <c r="A86" s="15" t="str">
        <f>Landmarks!A12</f>
        <v>NIP (A)</v>
      </c>
      <c r="B86">
        <f>Landmarks!B12</f>
        <v>0</v>
      </c>
      <c r="C86" s="23">
        <f>Landmarks!C12</f>
        <v>50.589999999999996</v>
      </c>
      <c r="D86" s="15" t="str">
        <f>Relays!F25</f>
        <v>R-E-2-7</v>
      </c>
      <c r="E86" s="1">
        <f>Relays!I25</f>
        <v>-30.167055223882393</v>
      </c>
      <c r="F86" s="14">
        <f>Relays!J25</f>
        <v>35.136375440833817</v>
      </c>
      <c r="G86" s="27">
        <f t="shared" si="11"/>
        <v>33.894921933771052</v>
      </c>
      <c r="H86">
        <v>33.89</v>
      </c>
      <c r="I86" s="14">
        <f t="shared" si="10"/>
        <v>4.9219337710511013E-3</v>
      </c>
    </row>
    <row r="87" spans="1:9" ht="17" thickBot="1" x14ac:dyDescent="0.25">
      <c r="A87" s="16" t="str">
        <f>Landmarks!A12</f>
        <v>NIP (A)</v>
      </c>
      <c r="B87" s="17">
        <f>Landmarks!B12</f>
        <v>0</v>
      </c>
      <c r="C87" s="24">
        <f>Landmarks!C12</f>
        <v>50.589999999999996</v>
      </c>
      <c r="D87" s="16" t="str">
        <f>Relays!F26</f>
        <v>R-E-2-8</v>
      </c>
      <c r="E87" s="18">
        <f>Relays!I26</f>
        <v>-33.142384580201252</v>
      </c>
      <c r="F87" s="19">
        <f>Relays!J26</f>
        <v>34.068801627560042</v>
      </c>
      <c r="G87" s="28">
        <f t="shared" si="11"/>
        <v>37.031981466341691</v>
      </c>
      <c r="H87" s="17">
        <v>37.03</v>
      </c>
      <c r="I87" s="19">
        <f t="shared" si="10"/>
        <v>1.9814663416894973E-3</v>
      </c>
    </row>
    <row r="88" spans="1:9" x14ac:dyDescent="0.2">
      <c r="A88" s="20" t="str">
        <f>Landmarks!A11</f>
        <v>DH (SP7)</v>
      </c>
      <c r="B88" s="9">
        <f>Landmarks!B11</f>
        <v>-33.340000000000003</v>
      </c>
      <c r="C88" s="25">
        <f>Landmarks!C11</f>
        <v>0.5</v>
      </c>
      <c r="D88" s="20" t="str">
        <f>Relays!K3</f>
        <v>R-S-3-1</v>
      </c>
      <c r="E88" s="10">
        <f>Relays!N3</f>
        <v>-34.750660304046811</v>
      </c>
      <c r="F88" s="11">
        <f>Relays!O3</f>
        <v>-17.680828838964125</v>
      </c>
      <c r="G88" s="26">
        <f t="shared" si="11"/>
        <v>18.235473664402662</v>
      </c>
      <c r="H88" s="9">
        <v>18.239999999999998</v>
      </c>
      <c r="I88" s="11">
        <f t="shared" si="10"/>
        <v>-4.5263355973368391E-3</v>
      </c>
    </row>
    <row r="89" spans="1:9" x14ac:dyDescent="0.2">
      <c r="A89" s="15" t="str">
        <f>Landmarks!A11</f>
        <v>DH (SP7)</v>
      </c>
      <c r="B89">
        <f>Landmarks!B11</f>
        <v>-33.340000000000003</v>
      </c>
      <c r="C89" s="23">
        <f>Landmarks!C11</f>
        <v>0.5</v>
      </c>
      <c r="D89" s="15" t="str">
        <f>Relays!K4</f>
        <v>R-S-3-2</v>
      </c>
      <c r="E89" s="1">
        <f>Relays!N4</f>
        <v>-35.212733341798476</v>
      </c>
      <c r="F89" s="14">
        <f>Relays!O4</f>
        <v>-19.414105969613793</v>
      </c>
      <c r="G89" s="27">
        <f t="shared" si="11"/>
        <v>20.001968571580431</v>
      </c>
      <c r="H89">
        <v>20</v>
      </c>
      <c r="I89" s="14">
        <f t="shared" si="10"/>
        <v>1.9685715804307335E-3</v>
      </c>
    </row>
    <row r="90" spans="1:9" x14ac:dyDescent="0.2">
      <c r="A90" s="15" t="str">
        <f>Landmarks!A11</f>
        <v>DH (SP7)</v>
      </c>
      <c r="B90">
        <f>Landmarks!B11</f>
        <v>-33.340000000000003</v>
      </c>
      <c r="C90" s="23">
        <f>Landmarks!C11</f>
        <v>0.5</v>
      </c>
      <c r="D90" s="15" t="str">
        <f>Relays!K5</f>
        <v>R-S-3-3</v>
      </c>
      <c r="E90" s="1">
        <f>Relays!N5</f>
        <v>-35.638040377981334</v>
      </c>
      <c r="F90" s="14">
        <f>Relays!O5</f>
        <v>-21.127588078561455</v>
      </c>
      <c r="G90" s="27">
        <f t="shared" si="11"/>
        <v>21.749334603034782</v>
      </c>
      <c r="H90">
        <v>21.75</v>
      </c>
      <c r="I90" s="14">
        <f t="shared" si="10"/>
        <v>-6.6539696521772385E-4</v>
      </c>
    </row>
    <row r="91" spans="1:9" x14ac:dyDescent="0.2">
      <c r="A91" s="15" t="str">
        <f>Landmarks!A11</f>
        <v>DH (SP7)</v>
      </c>
      <c r="B91">
        <f>Landmarks!B11</f>
        <v>-33.340000000000003</v>
      </c>
      <c r="C91" s="23">
        <f>Landmarks!C11</f>
        <v>0.5</v>
      </c>
      <c r="D91" s="15" t="str">
        <f>Relays!K6</f>
        <v>R-S-3-4</v>
      </c>
      <c r="E91" s="1">
        <f>Relays!N6</f>
        <v>-36.030300103031337</v>
      </c>
      <c r="F91" s="14">
        <f>Relays!O6</f>
        <v>-22.821918729272092</v>
      </c>
      <c r="G91" s="27">
        <f t="shared" si="11"/>
        <v>23.476575726863206</v>
      </c>
      <c r="H91">
        <v>23.48</v>
      </c>
      <c r="I91" s="14">
        <f t="shared" si="10"/>
        <v>-3.4242731367939427E-3</v>
      </c>
    </row>
    <row r="92" spans="1:9" x14ac:dyDescent="0.2">
      <c r="A92" s="15" t="str">
        <f>Landmarks!A11</f>
        <v>DH (SP7)</v>
      </c>
      <c r="B92">
        <f>Landmarks!B11</f>
        <v>-33.340000000000003</v>
      </c>
      <c r="C92" s="23">
        <f>Landmarks!C11</f>
        <v>0.5</v>
      </c>
      <c r="D92" s="15" t="str">
        <f>Relays!K7</f>
        <v>R-S-3-5</v>
      </c>
      <c r="E92" s="1">
        <f>Relays!N7</f>
        <v>-36.392784580453586</v>
      </c>
      <c r="F92" s="14">
        <f>Relays!O7</f>
        <v>-24.497798482326925</v>
      </c>
      <c r="G92" s="27">
        <f t="shared" si="11"/>
        <v>25.183514898792055</v>
      </c>
      <c r="H92">
        <v>25.18</v>
      </c>
      <c r="I92" s="14">
        <f t="shared" si="10"/>
        <v>3.5148987920550212E-3</v>
      </c>
    </row>
    <row r="93" spans="1:9" x14ac:dyDescent="0.2">
      <c r="A93" s="15" t="str">
        <f>Landmarks!A11</f>
        <v>DH (SP7)</v>
      </c>
      <c r="B93">
        <f>Landmarks!B11</f>
        <v>-33.340000000000003</v>
      </c>
      <c r="C93" s="23">
        <f>Landmarks!C11</f>
        <v>0.5</v>
      </c>
      <c r="D93" s="15" t="str">
        <f>Relays!K8</f>
        <v>R-S-3-6</v>
      </c>
      <c r="E93" s="1">
        <f>Relays!N8</f>
        <v>-36.728380088366578</v>
      </c>
      <c r="F93" s="14">
        <f>Relays!O8</f>
        <v>-26.1559590931871</v>
      </c>
      <c r="G93" s="27">
        <f t="shared" si="11"/>
        <v>26.870453565224818</v>
      </c>
      <c r="H93">
        <v>26.87</v>
      </c>
      <c r="I93" s="14">
        <f t="shared" si="10"/>
        <v>4.5356522481654338E-4</v>
      </c>
    </row>
    <row r="94" spans="1:9" x14ac:dyDescent="0.2">
      <c r="A94" s="15" t="str">
        <f>Landmarks!A11</f>
        <v>DH (SP7)</v>
      </c>
      <c r="B94">
        <f>Landmarks!B11</f>
        <v>-33.340000000000003</v>
      </c>
      <c r="C94" s="23">
        <f>Landmarks!C11</f>
        <v>0.5</v>
      </c>
      <c r="D94" s="15" t="str">
        <f>Relays!K9</f>
        <v>R-S-3-7</v>
      </c>
      <c r="E94" s="1">
        <f>Relays!N9</f>
        <v>-37.039638900227978</v>
      </c>
      <c r="F94" s="14">
        <f>Relays!O9</f>
        <v>-27.797144640065426</v>
      </c>
      <c r="G94" s="27">
        <f t="shared" si="11"/>
        <v>28.53796984322577</v>
      </c>
      <c r="H94">
        <v>28.54</v>
      </c>
      <c r="I94" s="14">
        <f t="shared" si="10"/>
        <v>-2.0301567742286863E-3</v>
      </c>
    </row>
    <row r="95" spans="1:9" ht="17" thickBot="1" x14ac:dyDescent="0.25">
      <c r="A95" s="16" t="str">
        <f>Landmarks!A11</f>
        <v>DH (SP7)</v>
      </c>
      <c r="B95" s="17">
        <f>Landmarks!B11</f>
        <v>-33.340000000000003</v>
      </c>
      <c r="C95" s="24">
        <f>Landmarks!C11</f>
        <v>0.5</v>
      </c>
      <c r="D95" s="16" t="str">
        <f>Relays!K10</f>
        <v>R-S-3-8</v>
      </c>
      <c r="E95" s="18">
        <f>Relays!N10</f>
        <v>-37.32882342666214</v>
      </c>
      <c r="F95" s="19">
        <f>Relays!O10</f>
        <v>-29.422097844665654</v>
      </c>
      <c r="G95" s="28">
        <f t="shared" si="11"/>
        <v>30.186795983589143</v>
      </c>
      <c r="H95" s="17">
        <v>30.19</v>
      </c>
      <c r="I95" s="19">
        <f t="shared" si="10"/>
        <v>-3.2040164108586566E-3</v>
      </c>
    </row>
    <row r="96" spans="1:9" x14ac:dyDescent="0.2">
      <c r="A96" s="20" t="str">
        <f>Landmarks!A20</f>
        <v>NIC (MH)</v>
      </c>
      <c r="B96" s="9">
        <f>Landmarks!B20</f>
        <v>8.24</v>
      </c>
      <c r="C96" s="25">
        <f>Landmarks!C20</f>
        <v>-34.96</v>
      </c>
      <c r="D96" s="20" t="str">
        <f>Relays!K11</f>
        <v>R-M-3-1</v>
      </c>
      <c r="E96" s="10">
        <f>Relays!N11</f>
        <v>-21.686239608110263</v>
      </c>
      <c r="F96" s="11">
        <f>Relays!O11</f>
        <v>-32.402578781011087</v>
      </c>
      <c r="G96" s="26">
        <f t="shared" si="11"/>
        <v>30.035316218967338</v>
      </c>
      <c r="H96" s="9">
        <v>30.04</v>
      </c>
      <c r="I96" s="11">
        <f t="shared" si="10"/>
        <v>-4.683781032660761E-3</v>
      </c>
    </row>
    <row r="97" spans="1:9" x14ac:dyDescent="0.2">
      <c r="A97" s="15" t="str">
        <f>Landmarks!A20</f>
        <v>NIC (MH)</v>
      </c>
      <c r="B97">
        <f>Landmarks!B20</f>
        <v>8.24</v>
      </c>
      <c r="C97" s="23">
        <f>Landmarks!C20</f>
        <v>-34.96</v>
      </c>
      <c r="D97" s="15" t="str">
        <f>Relays!K12</f>
        <v>R-M-3-2</v>
      </c>
      <c r="E97" s="1">
        <f>Relays!N12</f>
        <v>-21.766256913179433</v>
      </c>
      <c r="F97" s="14">
        <f>Relays!O12</f>
        <v>-33.809379763454238</v>
      </c>
      <c r="G97" s="27">
        <f t="shared" si="11"/>
        <v>30.028309657196445</v>
      </c>
      <c r="H97">
        <v>30.03</v>
      </c>
      <c r="I97" s="14">
        <f t="shared" si="10"/>
        <v>-1.6903428035561774E-3</v>
      </c>
    </row>
    <row r="98" spans="1:9" x14ac:dyDescent="0.2">
      <c r="A98" s="15" t="str">
        <f>Landmarks!A20</f>
        <v>NIC (MH)</v>
      </c>
      <c r="B98">
        <f>Landmarks!B20</f>
        <v>8.24</v>
      </c>
      <c r="C98" s="23">
        <f>Landmarks!C20</f>
        <v>-34.96</v>
      </c>
      <c r="D98" s="15" t="str">
        <f>Relays!K13</f>
        <v>R-M-3-3</v>
      </c>
      <c r="E98" s="1">
        <f>Relays!N13</f>
        <v>-21.839598422272562</v>
      </c>
      <c r="F98" s="14">
        <f>Relays!O13</f>
        <v>-35.20620457751545</v>
      </c>
      <c r="G98" s="27">
        <f t="shared" si="11"/>
        <v>30.080606010171596</v>
      </c>
      <c r="H98">
        <v>30.09</v>
      </c>
      <c r="I98" s="14">
        <f t="shared" si="10"/>
        <v>-9.3939898284034484E-3</v>
      </c>
    </row>
    <row r="99" spans="1:9" x14ac:dyDescent="0.2">
      <c r="A99" s="15" t="str">
        <f>Landmarks!A20</f>
        <v>NIC (MH)</v>
      </c>
      <c r="B99">
        <f>Landmarks!B20</f>
        <v>8.24</v>
      </c>
      <c r="C99" s="23">
        <f>Landmarks!C20</f>
        <v>-34.96</v>
      </c>
      <c r="D99" s="15" t="str">
        <f>Relays!K14</f>
        <v>R-M-3-4</v>
      </c>
      <c r="E99" s="1">
        <f>Relays!N14</f>
        <v>-21.906987551445685</v>
      </c>
      <c r="F99" s="14">
        <f>Relays!O14</f>
        <v>-36.59380270511393</v>
      </c>
      <c r="G99" s="27">
        <f t="shared" si="11"/>
        <v>30.191226700918573</v>
      </c>
      <c r="H99">
        <v>30.19</v>
      </c>
      <c r="I99" s="14">
        <f t="shared" si="10"/>
        <v>1.2267009185720212E-3</v>
      </c>
    </row>
    <row r="100" spans="1:9" x14ac:dyDescent="0.2">
      <c r="A100" s="15" t="str">
        <f>Landmarks!A20</f>
        <v>NIC (MH)</v>
      </c>
      <c r="B100">
        <f>Landmarks!B20</f>
        <v>8.24</v>
      </c>
      <c r="C100" s="23">
        <f>Landmarks!C20</f>
        <v>-34.96</v>
      </c>
      <c r="D100" s="15" t="str">
        <f>Relays!K15</f>
        <v>R-M-3-5</v>
      </c>
      <c r="E100" s="1">
        <f>Relays!N15</f>
        <v>-21.969052566202699</v>
      </c>
      <c r="F100" s="14">
        <f>Relays!O15</f>
        <v>-37.972853847761066</v>
      </c>
      <c r="G100" s="27">
        <f t="shared" si="11"/>
        <v>30.358922004174762</v>
      </c>
      <c r="H100">
        <v>30.36</v>
      </c>
      <c r="I100" s="14">
        <f t="shared" si="10"/>
        <v>-1.0779958252378208E-3</v>
      </c>
    </row>
    <row r="101" spans="1:9" x14ac:dyDescent="0.2">
      <c r="A101" s="15" t="str">
        <f>Landmarks!A20</f>
        <v>NIC (MH)</v>
      </c>
      <c r="B101">
        <f>Landmarks!B20</f>
        <v>8.24</v>
      </c>
      <c r="C101" s="23">
        <f>Landmarks!C20</f>
        <v>-34.96</v>
      </c>
      <c r="D101" s="15" t="str">
        <f>Relays!K16</f>
        <v>R-M-3-6</v>
      </c>
      <c r="E101" s="1">
        <f>Relays!N16</f>
        <v>-22.02634115564533</v>
      </c>
      <c r="F101" s="14">
        <f>Relays!O16</f>
        <v>-39.343975336703387</v>
      </c>
      <c r="G101" s="27">
        <f t="shared" si="11"/>
        <v>30.582194929447652</v>
      </c>
      <c r="H101">
        <v>30.58</v>
      </c>
      <c r="I101" s="14">
        <f t="shared" si="10"/>
        <v>2.1949294476542036E-3</v>
      </c>
    </row>
    <row r="102" spans="1:9" x14ac:dyDescent="0.2">
      <c r="A102" s="15" t="str">
        <f>Landmarks!A20</f>
        <v>NIC (MH)</v>
      </c>
      <c r="B102">
        <f>Landmarks!B20</f>
        <v>8.24</v>
      </c>
      <c r="C102" s="23">
        <f>Landmarks!C20</f>
        <v>-34.96</v>
      </c>
      <c r="D102" s="15" t="str">
        <f>Relays!K17</f>
        <v>R-M-3-7</v>
      </c>
      <c r="E102" s="1">
        <f>Relays!N17</f>
        <v>-22.079332479027823</v>
      </c>
      <c r="F102" s="14">
        <f>Relays!O17</f>
        <v>-40.707728716799551</v>
      </c>
      <c r="G102" s="27">
        <f t="shared" si="11"/>
        <v>30.859330961246609</v>
      </c>
      <c r="H102">
        <v>30.86</v>
      </c>
      <c r="I102" s="14">
        <f t="shared" si="10"/>
        <v>-6.6903875339008323E-4</v>
      </c>
    </row>
    <row r="103" spans="1:9" ht="17" thickBot="1" x14ac:dyDescent="0.25">
      <c r="A103" s="16" t="str">
        <f>Landmarks!A20</f>
        <v>NIC (MH)</v>
      </c>
      <c r="B103" s="17">
        <f>Landmarks!B20</f>
        <v>8.24</v>
      </c>
      <c r="C103" s="24">
        <f>Landmarks!C20</f>
        <v>-34.96</v>
      </c>
      <c r="D103" s="16" t="str">
        <f>Relays!K18</f>
        <v>R-M-3-8</v>
      </c>
      <c r="E103" s="18">
        <f>Relays!N18</f>
        <v>-22.128447171071219</v>
      </c>
      <c r="F103" s="19">
        <f>Relays!O18</f>
        <v>-42.064625587268807</v>
      </c>
      <c r="G103" s="28">
        <f t="shared" si="11"/>
        <v>31.18843196310802</v>
      </c>
      <c r="H103" s="17">
        <v>31.19</v>
      </c>
      <c r="I103" s="19">
        <f t="shared" si="10"/>
        <v>-1.5680368919817056E-3</v>
      </c>
    </row>
    <row r="104" spans="1:9" x14ac:dyDescent="0.2">
      <c r="A104" s="20" t="str">
        <f>Landmarks!A20</f>
        <v>NIC (MH)</v>
      </c>
      <c r="B104" s="9">
        <f>Landmarks!B20</f>
        <v>8.24</v>
      </c>
      <c r="C104" s="25">
        <f>Landmarks!C20</f>
        <v>-34.96</v>
      </c>
      <c r="D104" s="20" t="str">
        <f>Relays!K19</f>
        <v>R-E-3-1</v>
      </c>
      <c r="E104" s="10">
        <f>Relays!N19</f>
        <v>-12.805421452194713</v>
      </c>
      <c r="F104" s="11">
        <f>Relays!O19</f>
        <v>-36.827181285453705</v>
      </c>
      <c r="G104" s="26">
        <f t="shared" si="11"/>
        <v>21.128088651206617</v>
      </c>
      <c r="H104" s="9">
        <v>21.13</v>
      </c>
      <c r="I104" s="11">
        <f t="shared" si="10"/>
        <v>-1.9113487933815065E-3</v>
      </c>
    </row>
    <row r="105" spans="1:9" x14ac:dyDescent="0.2">
      <c r="A105" s="15" t="str">
        <f>Landmarks!A20</f>
        <v>NIC (MH)</v>
      </c>
      <c r="B105">
        <f>Landmarks!B20</f>
        <v>8.24</v>
      </c>
      <c r="C105" s="23">
        <f>Landmarks!C20</f>
        <v>-34.96</v>
      </c>
      <c r="D105" s="15" t="str">
        <f>Relays!K20</f>
        <v>R-E-3-2</v>
      </c>
      <c r="E105" s="1">
        <f>Relays!N20</f>
        <v>-12.821731976860448</v>
      </c>
      <c r="F105" s="14">
        <f>Relays!O20</f>
        <v>-38.110986462089308</v>
      </c>
      <c r="G105" s="27">
        <f t="shared" si="11"/>
        <v>21.296132736940198</v>
      </c>
      <c r="H105">
        <v>21.3</v>
      </c>
      <c r="I105" s="14">
        <f t="shared" si="10"/>
        <v>-3.8672630598028945E-3</v>
      </c>
    </row>
    <row r="106" spans="1:9" x14ac:dyDescent="0.2">
      <c r="A106" s="15" t="str">
        <f>Landmarks!A20</f>
        <v>NIC (MH)</v>
      </c>
      <c r="B106">
        <f>Landmarks!B20</f>
        <v>8.24</v>
      </c>
      <c r="C106" s="23">
        <f>Landmarks!C20</f>
        <v>-34.96</v>
      </c>
      <c r="D106" s="15" t="str">
        <f>Relays!K21</f>
        <v>R-E-3-3</v>
      </c>
      <c r="E106" s="1">
        <f>Relays!N21</f>
        <v>-12.836697553165397</v>
      </c>
      <c r="F106" s="14">
        <f>Relays!O21</f>
        <v>-39.391167740098254</v>
      </c>
      <c r="G106" s="27">
        <f t="shared" si="11"/>
        <v>21.537465665404916</v>
      </c>
      <c r="H106">
        <v>21.54</v>
      </c>
      <c r="I106" s="14">
        <f t="shared" si="10"/>
        <v>-2.5343345950830098E-3</v>
      </c>
    </row>
    <row r="107" spans="1:9" x14ac:dyDescent="0.2">
      <c r="A107" s="15" t="str">
        <f>Landmarks!A20</f>
        <v>NIC (MH)</v>
      </c>
      <c r="B107">
        <f>Landmarks!B20</f>
        <v>8.24</v>
      </c>
      <c r="C107" s="23">
        <f>Landmarks!C20</f>
        <v>-34.96</v>
      </c>
      <c r="D107" s="15" t="str">
        <f>Relays!K22</f>
        <v>R-E-3-4</v>
      </c>
      <c r="E107" s="1">
        <f>Relays!N22</f>
        <v>-12.850464531180926</v>
      </c>
      <c r="F107" s="14">
        <f>Relays!O22</f>
        <v>-40.668022589411216</v>
      </c>
      <c r="G107" s="27">
        <f t="shared" si="11"/>
        <v>21.849238339636223</v>
      </c>
      <c r="H107">
        <v>21.85</v>
      </c>
      <c r="I107" s="14">
        <f t="shared" si="10"/>
        <v>-7.6166036377856017E-4</v>
      </c>
    </row>
    <row r="108" spans="1:9" x14ac:dyDescent="0.2">
      <c r="A108" s="15" t="str">
        <f>Landmarks!A20</f>
        <v>NIC (MH)</v>
      </c>
      <c r="B108">
        <f>Landmarks!B20</f>
        <v>8.24</v>
      </c>
      <c r="C108" s="23">
        <f>Landmarks!C20</f>
        <v>-34.96</v>
      </c>
      <c r="D108" s="15" t="str">
        <f>Relays!K23</f>
        <v>R-E-3-5</v>
      </c>
      <c r="E108" s="1">
        <f>Relays!N23</f>
        <v>-12.863159766081568</v>
      </c>
      <c r="F108" s="14">
        <f>Relays!O23</f>
        <v>-41.941817090253259</v>
      </c>
      <c r="G108" s="27">
        <f t="shared" si="11"/>
        <v>22.228115574526697</v>
      </c>
      <c r="H108">
        <v>22.23</v>
      </c>
      <c r="I108" s="14">
        <f t="shared" si="10"/>
        <v>-1.8844254733032528E-3</v>
      </c>
    </row>
    <row r="109" spans="1:9" x14ac:dyDescent="0.2">
      <c r="A109" s="15" t="str">
        <f>Landmarks!A20</f>
        <v>NIC (MH)</v>
      </c>
      <c r="B109">
        <f>Landmarks!B20</f>
        <v>8.24</v>
      </c>
      <c r="C109" s="23">
        <f>Landmarks!C20</f>
        <v>-34.96</v>
      </c>
      <c r="D109" s="15" t="str">
        <f>Relays!K24</f>
        <v>R-E-3-6</v>
      </c>
      <c r="E109" s="1">
        <f>Relays!N24</f>
        <v>-12.874893660407366</v>
      </c>
      <c r="F109" s="14">
        <f>Relays!O24</f>
        <v>-43.212789926515995</v>
      </c>
      <c r="G109" s="27">
        <f t="shared" si="11"/>
        <v>22.67040528666206</v>
      </c>
      <c r="H109">
        <v>22.67</v>
      </c>
      <c r="I109" s="14">
        <f t="shared" si="10"/>
        <v>4.0528666205830177E-4</v>
      </c>
    </row>
    <row r="110" spans="1:9" x14ac:dyDescent="0.2">
      <c r="A110" s="15" t="str">
        <f>Landmarks!A20</f>
        <v>NIC (MH)</v>
      </c>
      <c r="B110">
        <f>Landmarks!B20</f>
        <v>8.24</v>
      </c>
      <c r="C110" s="23">
        <f>Landmarks!C20</f>
        <v>-34.96</v>
      </c>
      <c r="D110" s="15" t="str">
        <f>Relays!K25</f>
        <v>R-E-3-7</v>
      </c>
      <c r="E110" s="1">
        <f>Relays!N25</f>
        <v>-12.885762666111875</v>
      </c>
      <c r="F110" s="14">
        <f>Relays!O25</f>
        <v>-44.481155791105934</v>
      </c>
      <c r="G110" s="27">
        <f t="shared" si="11"/>
        <v>23.172187117822872</v>
      </c>
      <c r="H110">
        <v>23.17</v>
      </c>
      <c r="I110" s="14">
        <f t="shared" si="10"/>
        <v>2.1871178228707322E-3</v>
      </c>
    </row>
    <row r="111" spans="1:9" ht="17" thickBot="1" x14ac:dyDescent="0.25">
      <c r="A111" s="16" t="str">
        <f>Landmarks!A20</f>
        <v>NIC (MH)</v>
      </c>
      <c r="B111" s="17">
        <f>Landmarks!B20</f>
        <v>8.24</v>
      </c>
      <c r="C111" s="24">
        <f>Landmarks!C20</f>
        <v>-34.96</v>
      </c>
      <c r="D111" s="16" t="str">
        <f>Relays!K26</f>
        <v>R-E-3-8</v>
      </c>
      <c r="E111" s="18">
        <f>Relays!N26</f>
        <v>-12.895851353303028</v>
      </c>
      <c r="F111" s="19">
        <f>Relays!O26</f>
        <v>-45.747108300673084</v>
      </c>
      <c r="G111" s="28">
        <f t="shared" si="11"/>
        <v>23.729431470630971</v>
      </c>
      <c r="H111" s="17">
        <v>23.73</v>
      </c>
      <c r="I111" s="19">
        <f t="shared" si="10"/>
        <v>-5.6852936902984652E-4</v>
      </c>
    </row>
    <row r="112" spans="1:9" ht="17" thickBot="1" x14ac:dyDescent="0.25">
      <c r="B112"/>
      <c r="C112"/>
      <c r="E112"/>
      <c r="F112"/>
      <c r="I112" s="1"/>
    </row>
    <row r="113" spans="1:9" ht="17" thickBot="1" x14ac:dyDescent="0.25">
      <c r="A113" s="48" t="s">
        <v>70</v>
      </c>
      <c r="B113" s="53"/>
      <c r="C113" s="53"/>
      <c r="D113" s="53"/>
      <c r="E113" s="53"/>
      <c r="F113" s="53"/>
      <c r="G113" s="53"/>
      <c r="H113" s="53"/>
      <c r="I113" s="49"/>
    </row>
    <row r="114" spans="1:9" x14ac:dyDescent="0.2">
      <c r="A114" s="20" t="str">
        <f>Landmarks!A13</f>
        <v>NIP (B)</v>
      </c>
      <c r="B114" s="9">
        <f>Landmarks!B13</f>
        <v>76.89</v>
      </c>
      <c r="C114" s="25">
        <f>Landmarks!C13</f>
        <v>49.529999999999994</v>
      </c>
      <c r="D114" s="9" t="str">
        <f>Relays!A8</f>
        <v>R-S-1-6</v>
      </c>
      <c r="E114" s="10">
        <f>Relays!D8</f>
        <v>99.63903574142131</v>
      </c>
      <c r="F114" s="10">
        <f>Relays!E8</f>
        <v>38.930572469917976</v>
      </c>
      <c r="G114" s="26">
        <f t="shared" ref="G114" si="12">SQRT((E114-B114)^2+(F114-C114)^2)</f>
        <v>25.0971410947527</v>
      </c>
      <c r="H114" s="9">
        <v>25.09</v>
      </c>
      <c r="I114" s="11">
        <f t="shared" ref="I114" si="13">G114-H114</f>
        <v>7.1410947527006385E-3</v>
      </c>
    </row>
    <row r="115" spans="1:9" x14ac:dyDescent="0.2">
      <c r="A115" s="15" t="str">
        <f>Landmarks!A13</f>
        <v>NIP (B)</v>
      </c>
      <c r="B115">
        <f>Landmarks!B13</f>
        <v>76.89</v>
      </c>
      <c r="C115" s="23">
        <f>Landmarks!C13</f>
        <v>49.529999999999994</v>
      </c>
      <c r="D115" t="str">
        <f>Relays!A9</f>
        <v>R-S-1-7</v>
      </c>
      <c r="E115" s="1">
        <f>Relays!D9</f>
        <v>96.302699184826693</v>
      </c>
      <c r="F115" s="1">
        <f>Relays!E9</f>
        <v>42.044776255314147</v>
      </c>
      <c r="G115" s="27">
        <f t="shared" ref="G115:G116" si="14">SQRT((E115-B115)^2+(F115-C115)^2)</f>
        <v>20.805803616985809</v>
      </c>
      <c r="H115">
        <v>20.8</v>
      </c>
      <c r="I115" s="14">
        <f t="shared" ref="I115:I116" si="15">G115-H115</f>
        <v>5.8036169858084463E-3</v>
      </c>
    </row>
    <row r="116" spans="1:9" ht="17" thickBot="1" x14ac:dyDescent="0.25">
      <c r="A116" s="16" t="str">
        <f>Landmarks!A13</f>
        <v>NIP (B)</v>
      </c>
      <c r="B116" s="17">
        <f>Landmarks!B13</f>
        <v>76.89</v>
      </c>
      <c r="C116" s="24">
        <f>Landmarks!C13</f>
        <v>49.529999999999994</v>
      </c>
      <c r="D116" s="17" t="str">
        <f>Relays!A10</f>
        <v>R-S-1-8</v>
      </c>
      <c r="E116" s="18">
        <f>Relays!D10</f>
        <v>92.794242227277053</v>
      </c>
      <c r="F116" s="18">
        <f>Relays!E10</f>
        <v>44.790132609494435</v>
      </c>
      <c r="G116" s="28">
        <f t="shared" si="14"/>
        <v>16.595519386372953</v>
      </c>
      <c r="H116" s="17">
        <v>16.59</v>
      </c>
      <c r="I116" s="19">
        <f t="shared" si="15"/>
        <v>5.5193863729527948E-3</v>
      </c>
    </row>
    <row r="117" spans="1:9" ht="17" thickBot="1" x14ac:dyDescent="0.25">
      <c r="B117"/>
      <c r="C117"/>
      <c r="E117"/>
      <c r="F117"/>
      <c r="I117" s="1"/>
    </row>
    <row r="118" spans="1:9" ht="17" thickBot="1" x14ac:dyDescent="0.25">
      <c r="A118" s="48" t="s">
        <v>71</v>
      </c>
      <c r="B118" s="53"/>
      <c r="C118" s="53"/>
      <c r="D118" s="53"/>
      <c r="E118" s="53"/>
      <c r="F118" s="53"/>
      <c r="G118" s="53"/>
      <c r="H118" s="53"/>
      <c r="I118" s="49"/>
    </row>
    <row r="119" spans="1:9" x14ac:dyDescent="0.2">
      <c r="A119" s="20" t="str">
        <f>Landmarks!A12</f>
        <v>NIP (A)</v>
      </c>
      <c r="B119" s="9">
        <f>Landmarks!B12</f>
        <v>0</v>
      </c>
      <c r="C119" s="9">
        <f>Landmarks!C12</f>
        <v>50.589999999999996</v>
      </c>
      <c r="D119" s="20" t="str">
        <f>Hurdles!A43</f>
        <v>H-6-1</v>
      </c>
      <c r="E119" s="10">
        <f>Hurdles!F43</f>
        <v>-19.046187106651736</v>
      </c>
      <c r="F119" s="11">
        <f>Hurdles!G43</f>
        <v>34.021505797045691</v>
      </c>
      <c r="G119" s="26">
        <f t="shared" ref="G119" si="16">SQRT((E119-B119)^2+(F119-C119)^2)</f>
        <v>25.244251691324052</v>
      </c>
      <c r="H119" s="9">
        <v>25.24</v>
      </c>
      <c r="I119" s="11">
        <f>G119-H119</f>
        <v>4.2516913240540077E-3</v>
      </c>
    </row>
    <row r="120" spans="1:9" x14ac:dyDescent="0.2">
      <c r="A120" s="15" t="str">
        <f>Landmarks!A12</f>
        <v>NIP (A)</v>
      </c>
      <c r="B120">
        <f>Landmarks!B12</f>
        <v>0</v>
      </c>
      <c r="C120">
        <f>Landmarks!C12</f>
        <v>50.589999999999996</v>
      </c>
      <c r="D120" s="15" t="str">
        <f>Hurdles!A44</f>
        <v>H-6-2</v>
      </c>
      <c r="E120" s="1">
        <f>Hurdles!F44</f>
        <v>-22.36445050630012</v>
      </c>
      <c r="F120" s="14">
        <f>Hurdles!G44</f>
        <v>33.416694234338202</v>
      </c>
      <c r="G120" s="27">
        <f t="shared" ref="G120:G143" si="17">SQRT((E120-B120)^2+(F120-C120)^2)</f>
        <v>28.197359404200604</v>
      </c>
      <c r="H120">
        <v>28.23</v>
      </c>
      <c r="I120" s="14">
        <f t="shared" ref="I120:I143" si="18">G120-H120</f>
        <v>-3.2640595799396266E-2</v>
      </c>
    </row>
    <row r="121" spans="1:9" x14ac:dyDescent="0.2">
      <c r="A121" s="15" t="str">
        <f>Landmarks!A12</f>
        <v>NIP (A)</v>
      </c>
      <c r="B121">
        <f>Landmarks!B12</f>
        <v>0</v>
      </c>
      <c r="C121">
        <f>Landmarks!C12</f>
        <v>50.589999999999996</v>
      </c>
      <c r="D121" s="15" t="str">
        <f>Hurdles!A45</f>
        <v>H-6-3</v>
      </c>
      <c r="E121" s="1">
        <f>Hurdles!F45</f>
        <v>-25.5510039081421</v>
      </c>
      <c r="F121" s="14">
        <f>Hurdles!G45</f>
        <v>32.612744430453979</v>
      </c>
      <c r="G121" s="27">
        <f t="shared" si="17"/>
        <v>31.241567158621638</v>
      </c>
      <c r="H121">
        <v>31.24</v>
      </c>
      <c r="I121" s="14">
        <f t="shared" si="18"/>
        <v>1.5671586216399191E-3</v>
      </c>
    </row>
    <row r="122" spans="1:9" x14ac:dyDescent="0.2">
      <c r="A122" s="15" t="str">
        <f>Landmarks!A12</f>
        <v>NIP (A)</v>
      </c>
      <c r="B122">
        <f>Landmarks!B12</f>
        <v>0</v>
      </c>
      <c r="C122">
        <f>Landmarks!C12</f>
        <v>50.589999999999996</v>
      </c>
      <c r="D122" s="15" t="str">
        <f>Hurdles!A46</f>
        <v>H-6-4</v>
      </c>
      <c r="E122" s="1">
        <f>Hurdles!F46</f>
        <v>-28.60377662441444</v>
      </c>
      <c r="F122" s="14">
        <f>Hurdles!G46</f>
        <v>31.636157523008414</v>
      </c>
      <c r="G122" s="27">
        <f t="shared" si="17"/>
        <v>34.313615108612616</v>
      </c>
      <c r="H122">
        <v>34.31</v>
      </c>
      <c r="I122" s="14">
        <f t="shared" si="18"/>
        <v>3.6151086126139376E-3</v>
      </c>
    </row>
    <row r="123" spans="1:9" x14ac:dyDescent="0.2">
      <c r="A123" s="15" t="str">
        <f>Landmarks!A10</f>
        <v>DH (SP6)</v>
      </c>
      <c r="B123">
        <f>Landmarks!B10</f>
        <v>-28.62</v>
      </c>
      <c r="C123">
        <f>Landmarks!C10</f>
        <v>12.11</v>
      </c>
      <c r="D123" s="15" t="str">
        <f>Hurdles!A46</f>
        <v>H-6-4</v>
      </c>
      <c r="E123" s="1">
        <f>Hurdles!F46</f>
        <v>-28.60377662441444</v>
      </c>
      <c r="F123" s="14">
        <f>Hurdles!G46</f>
        <v>31.636157523008414</v>
      </c>
      <c r="G123" s="27">
        <f t="shared" ref="G123" si="19">SQRT((E123-B123)^2+(F123-C123)^2)</f>
        <v>19.526164262631141</v>
      </c>
      <c r="H123">
        <v>19.53</v>
      </c>
      <c r="I123" s="14">
        <f t="shared" ref="I123" si="20">G123-H123</f>
        <v>-3.8357373688597818E-3</v>
      </c>
    </row>
    <row r="124" spans="1:9" x14ac:dyDescent="0.2">
      <c r="A124" s="15" t="str">
        <f>Landmarks!A10</f>
        <v>DH (SP6)</v>
      </c>
      <c r="B124">
        <f>Landmarks!B10</f>
        <v>-28.62</v>
      </c>
      <c r="C124">
        <f>Landmarks!C10</f>
        <v>12.11</v>
      </c>
      <c r="D124" s="15" t="str">
        <f>Hurdles!A47</f>
        <v>H-6-5</v>
      </c>
      <c r="E124" s="1">
        <f>Hurdles!F47</f>
        <v>-31.522986898456178</v>
      </c>
      <c r="F124" s="14">
        <f>Hurdles!G47</f>
        <v>30.51029657344812</v>
      </c>
      <c r="G124" s="27">
        <f t="shared" si="17"/>
        <v>18.627888955097806</v>
      </c>
      <c r="H124">
        <v>18.63</v>
      </c>
      <c r="I124" s="14">
        <f t="shared" si="18"/>
        <v>-2.1110449021932709E-3</v>
      </c>
    </row>
    <row r="125" spans="1:9" x14ac:dyDescent="0.2">
      <c r="A125" s="15" t="str">
        <f>Landmarks!A10</f>
        <v>DH (SP6)</v>
      </c>
      <c r="B125">
        <f>Landmarks!B10</f>
        <v>-28.62</v>
      </c>
      <c r="C125">
        <f>Landmarks!C10</f>
        <v>12.11</v>
      </c>
      <c r="D125" s="15" t="str">
        <f>Hurdles!A48</f>
        <v>H-6-6</v>
      </c>
      <c r="E125" s="1">
        <f>Hurdles!F48</f>
        <v>-34.310530251320579</v>
      </c>
      <c r="F125" s="14">
        <f>Hurdles!G48</f>
        <v>29.255693700085377</v>
      </c>
      <c r="G125" s="27">
        <f t="shared" si="17"/>
        <v>18.0653521138765</v>
      </c>
      <c r="H125">
        <v>18.07</v>
      </c>
      <c r="I125" s="14">
        <f t="shared" si="18"/>
        <v>-4.6478861235002E-3</v>
      </c>
    </row>
    <row r="126" spans="1:9" x14ac:dyDescent="0.2">
      <c r="A126" s="15" t="str">
        <f>Landmarks!A10</f>
        <v>DH (SP6)</v>
      </c>
      <c r="B126">
        <f>Landmarks!B10</f>
        <v>-28.62</v>
      </c>
      <c r="C126">
        <f>Landmarks!C10</f>
        <v>12.11</v>
      </c>
      <c r="D126" s="15" t="str">
        <f>Hurdles!A49</f>
        <v>H-6-7</v>
      </c>
      <c r="E126" s="1">
        <f>Hurdles!F49</f>
        <v>-36.96950673449124</v>
      </c>
      <c r="F126" s="14">
        <f>Hurdles!G49</f>
        <v>27.890350872809151</v>
      </c>
      <c r="G126" s="27">
        <f t="shared" si="17"/>
        <v>17.853115593035383</v>
      </c>
      <c r="H126">
        <v>17.850000000000001</v>
      </c>
      <c r="I126" s="14">
        <f t="shared" si="18"/>
        <v>3.1155930353818917E-3</v>
      </c>
    </row>
    <row r="127" spans="1:9" ht="17" thickBot="1" x14ac:dyDescent="0.25">
      <c r="A127" s="16" t="str">
        <f>Landmarks!A10</f>
        <v>DH (SP6)</v>
      </c>
      <c r="B127" s="17">
        <f>Landmarks!B10</f>
        <v>-28.62</v>
      </c>
      <c r="C127" s="17">
        <f>Landmarks!C10</f>
        <v>12.11</v>
      </c>
      <c r="D127" s="16" t="str">
        <f>Hurdles!A50</f>
        <v>H-6-8</v>
      </c>
      <c r="E127" s="18">
        <f>Hurdles!F50</f>
        <v>-39.503857141138973</v>
      </c>
      <c r="F127" s="19">
        <f>Hurdles!G50</f>
        <v>26.430024044114734</v>
      </c>
      <c r="G127" s="28">
        <f t="shared" si="17"/>
        <v>17.986701612378681</v>
      </c>
      <c r="H127" s="17">
        <v>17.989999999999998</v>
      </c>
      <c r="I127" s="19">
        <f t="shared" si="18"/>
        <v>-3.2983876213172891E-3</v>
      </c>
    </row>
    <row r="128" spans="1:9" x14ac:dyDescent="0.2">
      <c r="A128" s="20" t="str">
        <f>Landmarks!A10</f>
        <v>DH (SP6)</v>
      </c>
      <c r="B128" s="9">
        <f>Landmarks!B10</f>
        <v>-28.62</v>
      </c>
      <c r="C128" s="9">
        <f>Landmarks!C10</f>
        <v>12.11</v>
      </c>
      <c r="D128" s="20" t="str">
        <f>Hurdles!A51</f>
        <v>H-7-1</v>
      </c>
      <c r="E128" s="10">
        <f>Hurdles!F51</f>
        <v>-38.445530569292728</v>
      </c>
      <c r="F128" s="11">
        <f>Hurdles!G51</f>
        <v>6.4931717400341897</v>
      </c>
      <c r="G128" s="26">
        <f t="shared" si="17"/>
        <v>11.317676911365531</v>
      </c>
      <c r="H128" s="9">
        <v>11.31</v>
      </c>
      <c r="I128" s="11">
        <f t="shared" si="18"/>
        <v>7.6769113655306143E-3</v>
      </c>
    </row>
    <row r="129" spans="1:9" x14ac:dyDescent="0.2">
      <c r="A129" s="15" t="str">
        <f>Landmarks!A10</f>
        <v>DH (SP6)</v>
      </c>
      <c r="B129">
        <f>Landmarks!B10</f>
        <v>-28.62</v>
      </c>
      <c r="C129">
        <f>Landmarks!C10</f>
        <v>12.11</v>
      </c>
      <c r="D129" s="15" t="str">
        <f>Hurdles!A52</f>
        <v>H-7-2</v>
      </c>
      <c r="E129" s="1">
        <f>Hurdles!F52</f>
        <v>-39.945145112746069</v>
      </c>
      <c r="F129" s="14">
        <f>Hurdles!G52</f>
        <v>4.6075461931117792</v>
      </c>
      <c r="G129" s="27">
        <f t="shared" si="17"/>
        <v>13.584760761575733</v>
      </c>
      <c r="H129">
        <v>13.58</v>
      </c>
      <c r="I129" s="14">
        <f t="shared" si="18"/>
        <v>4.7607615757332411E-3</v>
      </c>
    </row>
    <row r="130" spans="1:9" x14ac:dyDescent="0.2">
      <c r="A130" s="15" t="str">
        <f>Landmarks!A10</f>
        <v>DH (SP6)</v>
      </c>
      <c r="B130">
        <f>Landmarks!B10</f>
        <v>-28.62</v>
      </c>
      <c r="C130">
        <f>Landmarks!C10</f>
        <v>12.11</v>
      </c>
      <c r="D130" s="15" t="str">
        <f>Hurdles!A53</f>
        <v>H-7-3</v>
      </c>
      <c r="E130" s="1">
        <f>Hurdles!F53</f>
        <v>-41.34132067316807</v>
      </c>
      <c r="F130" s="14">
        <f>Hurdles!G53</f>
        <v>2.7092628145468716</v>
      </c>
      <c r="G130" s="27">
        <f t="shared" si="17"/>
        <v>15.817896803922274</v>
      </c>
      <c r="H130">
        <v>15.81</v>
      </c>
      <c r="I130" s="14">
        <f t="shared" si="18"/>
        <v>7.8968039222733211E-3</v>
      </c>
    </row>
    <row r="131" spans="1:9" x14ac:dyDescent="0.2">
      <c r="A131" s="15" t="str">
        <f>Landmarks!A10</f>
        <v>DH (SP6)</v>
      </c>
      <c r="B131">
        <f>Landmarks!B10</f>
        <v>-28.62</v>
      </c>
      <c r="C131">
        <f>Landmarks!C10</f>
        <v>12.11</v>
      </c>
      <c r="D131" s="15" t="str">
        <f>Hurdles!A54</f>
        <v>H-7-4</v>
      </c>
      <c r="E131" s="1">
        <f>Hurdles!F54</f>
        <v>-42.642419377687176</v>
      </c>
      <c r="F131" s="14">
        <f>Hurdles!G54</f>
        <v>0.80409552756439973</v>
      </c>
      <c r="G131" s="27">
        <f t="shared" si="17"/>
        <v>18.012543439047583</v>
      </c>
      <c r="H131">
        <v>18.010000000000002</v>
      </c>
      <c r="I131" s="14">
        <f t="shared" si="18"/>
        <v>2.543439047581586E-3</v>
      </c>
    </row>
    <row r="132" spans="1:9" x14ac:dyDescent="0.2">
      <c r="A132" s="15" t="str">
        <f>Landmarks!A10</f>
        <v>DH (SP6)</v>
      </c>
      <c r="B132">
        <f>Landmarks!B10</f>
        <v>-28.62</v>
      </c>
      <c r="C132">
        <f>Landmarks!C10</f>
        <v>12.11</v>
      </c>
      <c r="D132" s="15" t="str">
        <f>Hurdles!A55</f>
        <v>H-7-5</v>
      </c>
      <c r="E132" s="1">
        <f>Hurdles!F55</f>
        <v>-43.856123923102061</v>
      </c>
      <c r="F132" s="14">
        <f>Hurdles!G55</f>
        <v>-1.1033106731625659</v>
      </c>
      <c r="G132" s="27">
        <f t="shared" si="17"/>
        <v>20.167574250405888</v>
      </c>
      <c r="H132">
        <v>20.16</v>
      </c>
      <c r="I132" s="14">
        <f t="shared" si="18"/>
        <v>7.5742504058879945E-3</v>
      </c>
    </row>
    <row r="133" spans="1:9" x14ac:dyDescent="0.2">
      <c r="A133" s="15" t="str">
        <f>Landmarks!A10</f>
        <v>DH (SP6)</v>
      </c>
      <c r="B133">
        <f>Landmarks!B10</f>
        <v>-28.62</v>
      </c>
      <c r="C133">
        <f>Landmarks!C10</f>
        <v>12.11</v>
      </c>
      <c r="D133" s="15" t="str">
        <f>Hurdles!A56</f>
        <v>H-7-6</v>
      </c>
      <c r="E133" s="1">
        <f>Hurdles!F56</f>
        <v>-44.989472286508523</v>
      </c>
      <c r="F133" s="14">
        <f>Hurdles!G56</f>
        <v>-3.0092330221305645</v>
      </c>
      <c r="G133" s="27">
        <f t="shared" si="17"/>
        <v>22.283420521011891</v>
      </c>
      <c r="H133">
        <v>22.28</v>
      </c>
      <c r="I133" s="14">
        <f t="shared" si="18"/>
        <v>3.4205210118898322E-3</v>
      </c>
    </row>
    <row r="134" spans="1:9" x14ac:dyDescent="0.2">
      <c r="A134" s="15" t="str">
        <f>Landmarks!A10</f>
        <v>DH (SP6)</v>
      </c>
      <c r="B134">
        <f>Landmarks!B10</f>
        <v>-28.62</v>
      </c>
      <c r="C134">
        <f>Landmarks!C10</f>
        <v>12.11</v>
      </c>
      <c r="D134" s="15" t="str">
        <f>Hurdles!A57</f>
        <v>H-7-7</v>
      </c>
      <c r="E134" s="1">
        <f>Hurdles!F57</f>
        <v>-46.048898999844305</v>
      </c>
      <c r="F134" s="14">
        <f>Hurdles!G57</f>
        <v>-4.9107026892429104</v>
      </c>
      <c r="G134" s="27">
        <f t="shared" si="17"/>
        <v>24.361256954073092</v>
      </c>
      <c r="H134">
        <v>24.36</v>
      </c>
      <c r="I134" s="14">
        <f t="shared" si="18"/>
        <v>1.2569540730922313E-3</v>
      </c>
    </row>
    <row r="135" spans="1:9" ht="17" thickBot="1" x14ac:dyDescent="0.25">
      <c r="A135" s="16" t="str">
        <f>Landmarks!A10</f>
        <v>DH (SP6)</v>
      </c>
      <c r="B135" s="17">
        <f>Landmarks!B10</f>
        <v>-28.62</v>
      </c>
      <c r="C135" s="17">
        <f>Landmarks!C10</f>
        <v>12.11</v>
      </c>
      <c r="D135" s="16" t="str">
        <f>Hurdles!A58</f>
        <v>H-7-8</v>
      </c>
      <c r="E135" s="18">
        <f>Hurdles!F58</f>
        <v>-47.04027925063054</v>
      </c>
      <c r="F135" s="19">
        <f>Hurdles!G58</f>
        <v>-6.8053675890944527</v>
      </c>
      <c r="G135" s="28">
        <f t="shared" si="17"/>
        <v>26.402610073660803</v>
      </c>
      <c r="H135" s="17">
        <v>26.4</v>
      </c>
      <c r="I135" s="19">
        <f t="shared" si="18"/>
        <v>2.6100736608043462E-3</v>
      </c>
    </row>
    <row r="136" spans="1:9" x14ac:dyDescent="0.2">
      <c r="A136" s="20" t="str">
        <f>Landmarks!A11</f>
        <v>DH (SP7)</v>
      </c>
      <c r="B136" s="9">
        <f>Landmarks!B11</f>
        <v>-33.340000000000003</v>
      </c>
      <c r="C136" s="9">
        <f>Landmarks!C11</f>
        <v>0.5</v>
      </c>
      <c r="D136" s="20" t="str">
        <f>Hurdles!A59</f>
        <v>H-8-1</v>
      </c>
      <c r="E136" s="10">
        <f>Hurdles!F59</f>
        <v>-29.163003299198994</v>
      </c>
      <c r="F136" s="11">
        <f>Hurdles!G59</f>
        <v>-25.879322606492405</v>
      </c>
      <c r="G136" s="26">
        <f t="shared" si="17"/>
        <v>26.707975636800025</v>
      </c>
      <c r="H136" s="9">
        <v>26.71</v>
      </c>
      <c r="I136" s="11">
        <f t="shared" si="18"/>
        <v>-2.0243631999754541E-3</v>
      </c>
    </row>
    <row r="137" spans="1:9" x14ac:dyDescent="0.2">
      <c r="A137" s="15" t="str">
        <f>Landmarks!A11</f>
        <v>DH (SP7)</v>
      </c>
      <c r="B137">
        <f>Landmarks!B11</f>
        <v>-33.340000000000003</v>
      </c>
      <c r="C137">
        <f>Landmarks!C11</f>
        <v>0.5</v>
      </c>
      <c r="D137" s="15" t="str">
        <f>Hurdles!A60</f>
        <v>H-8-2</v>
      </c>
      <c r="E137" s="1">
        <f>Hurdles!F60</f>
        <v>-29.38495031138708</v>
      </c>
      <c r="F137" s="14">
        <f>Hurdles!G60</f>
        <v>-27.447564467495329</v>
      </c>
      <c r="G137" s="27">
        <f t="shared" si="17"/>
        <v>28.226030144251681</v>
      </c>
      <c r="H137">
        <v>28.23</v>
      </c>
      <c r="I137" s="14">
        <f t="shared" si="18"/>
        <v>-3.9698557483198726E-3</v>
      </c>
    </row>
    <row r="138" spans="1:9" x14ac:dyDescent="0.2">
      <c r="A138" s="15" t="str">
        <f>Landmarks!A11</f>
        <v>DH (SP7)</v>
      </c>
      <c r="B138">
        <f>Landmarks!B11</f>
        <v>-33.340000000000003</v>
      </c>
      <c r="C138">
        <f>Landmarks!C11</f>
        <v>0.5</v>
      </c>
      <c r="D138" s="15" t="str">
        <f>Hurdles!A61</f>
        <v>H-8-3</v>
      </c>
      <c r="E138" s="1">
        <f>Hurdles!F61</f>
        <v>-29.588683385662058</v>
      </c>
      <c r="F138" s="14">
        <f>Hurdles!G61</f>
        <v>-28.999219222300557</v>
      </c>
      <c r="G138" s="27">
        <f t="shared" si="17"/>
        <v>29.736783805017559</v>
      </c>
      <c r="H138">
        <v>29.74</v>
      </c>
      <c r="I138" s="14">
        <f t="shared" si="18"/>
        <v>-3.2161949824391911E-3</v>
      </c>
    </row>
    <row r="139" spans="1:9" x14ac:dyDescent="0.2">
      <c r="A139" s="15" t="str">
        <f>Landmarks!A11</f>
        <v>DH (SP7)</v>
      </c>
      <c r="B139">
        <f>Landmarks!B11</f>
        <v>-33.340000000000003</v>
      </c>
      <c r="C139">
        <f>Landmarks!C11</f>
        <v>0.5</v>
      </c>
      <c r="D139" s="15" t="str">
        <f>Hurdles!A62</f>
        <v>H-8-4</v>
      </c>
      <c r="E139" s="1">
        <f>Hurdles!F62</f>
        <v>-29.776125558281276</v>
      </c>
      <c r="F139" s="14">
        <f>Hurdles!G62</f>
        <v>-30.535304922948917</v>
      </c>
      <c r="G139" s="27">
        <f t="shared" si="17"/>
        <v>31.239259797516862</v>
      </c>
      <c r="H139">
        <v>31.24</v>
      </c>
      <c r="I139" s="14">
        <f t="shared" si="18"/>
        <v>-7.4020248313644288E-4</v>
      </c>
    </row>
    <row r="140" spans="1:9" x14ac:dyDescent="0.2">
      <c r="A140" s="15" t="str">
        <f>Landmarks!A11</f>
        <v>DH (SP7)</v>
      </c>
      <c r="B140">
        <f>Landmarks!B11</f>
        <v>-33.340000000000003</v>
      </c>
      <c r="C140">
        <f>Landmarks!C11</f>
        <v>0.5</v>
      </c>
      <c r="D140" s="15" t="str">
        <f>Hurdles!A63</f>
        <v>H-8-5</v>
      </c>
      <c r="E140" s="1">
        <f>Hurdles!F63</f>
        <v>-29.948955401614509</v>
      </c>
      <c r="F140" s="14">
        <f>Hurdles!G63</f>
        <v>-32.056777292050192</v>
      </c>
      <c r="G140" s="27">
        <f t="shared" si="17"/>
        <v>32.732902882457502</v>
      </c>
      <c r="H140">
        <v>32.74</v>
      </c>
      <c r="I140" s="14">
        <f t="shared" si="18"/>
        <v>-7.0971175425000865E-3</v>
      </c>
    </row>
    <row r="141" spans="1:9" x14ac:dyDescent="0.2">
      <c r="A141" s="15" t="str">
        <f>Landmarks!A11</f>
        <v>DH (SP7)</v>
      </c>
      <c r="B141">
        <f>Landmarks!B11</f>
        <v>-33.340000000000003</v>
      </c>
      <c r="C141">
        <f>Landmarks!C11</f>
        <v>0.5</v>
      </c>
      <c r="D141" s="15" t="str">
        <f>Hurdles!A64</f>
        <v>H-8-6</v>
      </c>
      <c r="E141" s="1">
        <f>Hurdles!F64</f>
        <v>-30.108642917705101</v>
      </c>
      <c r="F141" s="14">
        <f>Hurdles!G64</f>
        <v>-33.564530708087162</v>
      </c>
      <c r="G141" s="27">
        <f t="shared" si="17"/>
        <v>34.217450532666966</v>
      </c>
      <c r="H141">
        <v>34.22</v>
      </c>
      <c r="I141" s="14">
        <f t="shared" si="18"/>
        <v>-2.549467333032851E-3</v>
      </c>
    </row>
    <row r="142" spans="1:9" x14ac:dyDescent="0.2">
      <c r="A142" s="15" t="str">
        <f>Landmarks!A11</f>
        <v>DH (SP7)</v>
      </c>
      <c r="B142">
        <f>Landmarks!B11</f>
        <v>-33.340000000000003</v>
      </c>
      <c r="C142">
        <f>Landmarks!C11</f>
        <v>0.5</v>
      </c>
      <c r="D142" s="15" t="str">
        <f>Hurdles!A65</f>
        <v>H-8-7</v>
      </c>
      <c r="E142" s="1">
        <f>Hurdles!F65</f>
        <v>-30.256479519418686</v>
      </c>
      <c r="F142" s="14">
        <f>Hurdles!G65</f>
        <v>-35.059400267132311</v>
      </c>
      <c r="G142" s="27">
        <f t="shared" si="17"/>
        <v>35.692843062892791</v>
      </c>
      <c r="H142">
        <v>35.69</v>
      </c>
      <c r="I142" s="14">
        <f t="shared" si="18"/>
        <v>2.8430628927935686E-3</v>
      </c>
    </row>
    <row r="143" spans="1:9" ht="17" thickBot="1" x14ac:dyDescent="0.25">
      <c r="A143" s="16" t="str">
        <f>Landmarks!A11</f>
        <v>DH (SP7)</v>
      </c>
      <c r="B143" s="17">
        <f>Landmarks!B11</f>
        <v>-33.340000000000003</v>
      </c>
      <c r="C143" s="17">
        <f>Landmarks!C11</f>
        <v>0.5</v>
      </c>
      <c r="D143" s="16" t="str">
        <f>Hurdles!A66</f>
        <v>H-8-8</v>
      </c>
      <c r="E143" s="18">
        <f>Hurdles!F66</f>
        <v>-30.393603167924773</v>
      </c>
      <c r="F143" s="19">
        <f>Hurdles!G66</f>
        <v>-36.542164501719277</v>
      </c>
      <c r="G143" s="28">
        <f t="shared" si="17"/>
        <v>37.159160448865023</v>
      </c>
      <c r="H143" s="17">
        <v>37.159999999999997</v>
      </c>
      <c r="I143" s="19">
        <f t="shared" si="18"/>
        <v>-8.3955113497324874E-4</v>
      </c>
    </row>
    <row r="144" spans="1:9" x14ac:dyDescent="0.2">
      <c r="B144"/>
      <c r="C144"/>
      <c r="E144"/>
      <c r="F144"/>
      <c r="I144" s="1"/>
    </row>
    <row r="145" spans="1:9" x14ac:dyDescent="0.2">
      <c r="B145"/>
      <c r="C145"/>
      <c r="E145"/>
      <c r="F145"/>
      <c r="I145" s="1"/>
    </row>
    <row r="147" spans="1:9" x14ac:dyDescent="0.2">
      <c r="A147" s="54" t="s">
        <v>72</v>
      </c>
      <c r="B147" s="54"/>
      <c r="C147" s="54"/>
      <c r="D147" s="54"/>
      <c r="E147" s="54"/>
      <c r="F147" s="54"/>
      <c r="G147" s="54"/>
      <c r="H147" s="54"/>
      <c r="I147" s="54"/>
    </row>
    <row r="148" spans="1:9" x14ac:dyDescent="0.2">
      <c r="A148" t="str">
        <f>Starts!U3</f>
        <v>1500-1</v>
      </c>
      <c r="B148" s="1">
        <f>Starts!X3</f>
        <v>98.576239608110257</v>
      </c>
      <c r="C148" s="1">
        <f>Starts!Y3</f>
        <v>32.402578781011094</v>
      </c>
      <c r="D148" t="str">
        <f>Starts!U11</f>
        <v>1500-9</v>
      </c>
      <c r="E148" s="1">
        <f>Starts!X11</f>
        <v>99.377915369227267</v>
      </c>
      <c r="F148" s="1">
        <f>Starts!Y11</f>
        <v>43.253394807187931</v>
      </c>
      <c r="G148" s="1">
        <f t="shared" si="3"/>
        <v>10.880390271488363</v>
      </c>
    </row>
    <row r="149" spans="1:9" x14ac:dyDescent="0.2">
      <c r="A149" s="6" t="str">
        <f>Starts!U3</f>
        <v>1500-1</v>
      </c>
      <c r="B149" s="5">
        <f>Starts!X3</f>
        <v>98.576239608110257</v>
      </c>
      <c r="C149" s="5">
        <f>Starts!Y3</f>
        <v>32.402578781011094</v>
      </c>
      <c r="D149" t="s">
        <v>45</v>
      </c>
      <c r="E149" s="4">
        <v>119.75</v>
      </c>
      <c r="F149" s="4">
        <v>25.67</v>
      </c>
      <c r="G149" s="1">
        <f t="shared" si="3"/>
        <v>22.218365065316569</v>
      </c>
      <c r="H149">
        <v>22.22</v>
      </c>
      <c r="I149" s="5">
        <f t="shared" ref="I149:I166" si="21">G149-H149</f>
        <v>-1.6349346834303446E-3</v>
      </c>
    </row>
    <row r="150" spans="1:9" x14ac:dyDescent="0.2">
      <c r="A150" t="str">
        <f>Starts!U4</f>
        <v>1500-2</v>
      </c>
      <c r="B150" s="1">
        <f>Starts!X4</f>
        <v>99.109191667173604</v>
      </c>
      <c r="C150" s="1">
        <f>Starts!Y4</f>
        <v>33.513454337883516</v>
      </c>
      <c r="D150" t="s">
        <v>45</v>
      </c>
      <c r="E150" s="1">
        <f>E149</f>
        <v>119.75</v>
      </c>
      <c r="F150" s="1">
        <f>F149</f>
        <v>25.67</v>
      </c>
      <c r="G150" s="1">
        <f t="shared" si="3"/>
        <v>22.080823005108737</v>
      </c>
      <c r="H150">
        <v>22.08</v>
      </c>
      <c r="I150" s="1">
        <f t="shared" si="21"/>
        <v>8.2300510873878352E-4</v>
      </c>
    </row>
    <row r="151" spans="1:9" x14ac:dyDescent="0.2">
      <c r="A151" t="str">
        <f>Starts!U5</f>
        <v>1500-3</v>
      </c>
      <c r="B151" s="1">
        <f>Starts!X5</f>
        <v>99.503065276657281</v>
      </c>
      <c r="C151" s="1">
        <f>Starts!Y5</f>
        <v>34.714466419543839</v>
      </c>
      <c r="D151" t="s">
        <v>45</v>
      </c>
      <c r="E151" s="1">
        <f t="shared" ref="E151:E157" si="22">E150</f>
        <v>119.75</v>
      </c>
      <c r="F151" s="1">
        <f t="shared" ref="F151:F157" si="23">F150</f>
        <v>25.67</v>
      </c>
      <c r="G151" s="1">
        <f t="shared" ref="G151:G157" si="24">SQRT((E151-B151)^2+(F151-C151)^2)</f>
        <v>22.175228037284246</v>
      </c>
      <c r="H151">
        <v>22.18</v>
      </c>
      <c r="I151" s="1">
        <f t="shared" si="21"/>
        <v>-4.7719627157540856E-3</v>
      </c>
    </row>
    <row r="152" spans="1:9" x14ac:dyDescent="0.2">
      <c r="A152" t="str">
        <f>Starts!U6</f>
        <v>1500-4</v>
      </c>
      <c r="B152" s="1">
        <f>Starts!X6</f>
        <v>99.752803022146409</v>
      </c>
      <c r="C152" s="1">
        <f>Starts!Y6</f>
        <v>36.004371095334143</v>
      </c>
      <c r="D152" t="s">
        <v>45</v>
      </c>
      <c r="E152" s="1">
        <f t="shared" si="22"/>
        <v>119.75</v>
      </c>
      <c r="F152" s="1">
        <f t="shared" si="23"/>
        <v>25.67</v>
      </c>
      <c r="G152" s="1">
        <f t="shared" si="24"/>
        <v>22.509711524298897</v>
      </c>
      <c r="H152">
        <v>22.51</v>
      </c>
      <c r="I152" s="1">
        <f t="shared" si="21"/>
        <v>-2.8847570110457355E-4</v>
      </c>
    </row>
    <row r="153" spans="1:9" x14ac:dyDescent="0.2">
      <c r="A153" t="str">
        <f>Starts!U7</f>
        <v>1500-5</v>
      </c>
      <c r="B153" s="1">
        <f>Starts!X7</f>
        <v>99.914850298334116</v>
      </c>
      <c r="C153" s="1">
        <f>Starts!Y7</f>
        <v>37.342109859236707</v>
      </c>
      <c r="D153" t="s">
        <v>45</v>
      </c>
      <c r="E153" s="1">
        <f t="shared" si="22"/>
        <v>119.75</v>
      </c>
      <c r="F153" s="1">
        <f t="shared" si="23"/>
        <v>25.67</v>
      </c>
      <c r="G153" s="1">
        <f t="shared" si="24"/>
        <v>23.014589117635513</v>
      </c>
      <c r="H153">
        <v>23.01</v>
      </c>
      <c r="I153" s="1">
        <f t="shared" si="21"/>
        <v>4.5891176355112862E-3</v>
      </c>
    </row>
    <row r="154" spans="1:9" x14ac:dyDescent="0.2">
      <c r="A154" t="str">
        <f>Starts!U8</f>
        <v>1500-6</v>
      </c>
      <c r="B154" s="1">
        <f>Starts!X8</f>
        <v>100.01316128302297</v>
      </c>
      <c r="C154" s="1">
        <f>Starts!Y8</f>
        <v>38.709527409661149</v>
      </c>
      <c r="D154" t="s">
        <v>45</v>
      </c>
      <c r="E154" s="1">
        <f t="shared" si="22"/>
        <v>119.75</v>
      </c>
      <c r="F154" s="1">
        <f t="shared" si="23"/>
        <v>25.67</v>
      </c>
      <c r="G154" s="1">
        <f t="shared" si="24"/>
        <v>23.655275893704303</v>
      </c>
      <c r="H154">
        <v>23.66</v>
      </c>
      <c r="I154" s="1">
        <f t="shared" si="21"/>
        <v>-4.7241062956970836E-3</v>
      </c>
    </row>
    <row r="155" spans="1:9" x14ac:dyDescent="0.2">
      <c r="A155" t="str">
        <f>Starts!U9</f>
        <v>1500-7</v>
      </c>
      <c r="B155" s="1">
        <f>Starts!X9</f>
        <v>99.960397049288389</v>
      </c>
      <c r="C155" s="1">
        <f>Starts!Y9</f>
        <v>40.154363150076051</v>
      </c>
      <c r="D155" t="s">
        <v>45</v>
      </c>
      <c r="E155" s="1">
        <f t="shared" si="22"/>
        <v>119.75</v>
      </c>
      <c r="F155" s="1">
        <f t="shared" si="23"/>
        <v>25.67</v>
      </c>
      <c r="G155" s="1">
        <f t="shared" si="24"/>
        <v>24.52397114682071</v>
      </c>
      <c r="H155">
        <v>24.52</v>
      </c>
      <c r="I155" s="1">
        <f t="shared" si="21"/>
        <v>3.971146820710203E-3</v>
      </c>
    </row>
    <row r="156" spans="1:9" x14ac:dyDescent="0.2">
      <c r="A156" t="str">
        <f>Starts!U10</f>
        <v>1500-8</v>
      </c>
      <c r="B156" s="1">
        <f>Starts!X10</f>
        <v>99.76162781012097</v>
      </c>
      <c r="C156" s="1">
        <f>Starts!Y10</f>
        <v>41.665207803577559</v>
      </c>
      <c r="D156" t="s">
        <v>45</v>
      </c>
      <c r="E156" s="1">
        <f t="shared" si="22"/>
        <v>119.75</v>
      </c>
      <c r="F156" s="1">
        <f t="shared" si="23"/>
        <v>25.67</v>
      </c>
      <c r="G156" s="1">
        <f t="shared" si="24"/>
        <v>25.600423736351665</v>
      </c>
      <c r="H156">
        <v>25.6</v>
      </c>
      <c r="I156" s="1">
        <f t="shared" si="21"/>
        <v>4.2373635166370605E-4</v>
      </c>
    </row>
    <row r="157" spans="1:9" x14ac:dyDescent="0.2">
      <c r="A157" t="str">
        <f>Starts!U11</f>
        <v>1500-9</v>
      </c>
      <c r="B157" s="1">
        <f>Starts!X11</f>
        <v>99.377915369227267</v>
      </c>
      <c r="C157" s="1">
        <f>Starts!Y11</f>
        <v>43.253394807187931</v>
      </c>
      <c r="D157" t="s">
        <v>45</v>
      </c>
      <c r="E157" s="1">
        <f t="shared" si="22"/>
        <v>119.75</v>
      </c>
      <c r="F157" s="1">
        <f t="shared" si="23"/>
        <v>25.67</v>
      </c>
      <c r="G157" s="1">
        <f t="shared" si="24"/>
        <v>26.910919812388613</v>
      </c>
      <c r="H157">
        <v>26.91</v>
      </c>
      <c r="I157" s="1">
        <f t="shared" si="21"/>
        <v>9.1981238861293946E-4</v>
      </c>
    </row>
    <row r="158" spans="1:9" x14ac:dyDescent="0.2">
      <c r="A158" s="6" t="str">
        <f>Relays!A6</f>
        <v>R-S-1-4</v>
      </c>
      <c r="B158" s="5">
        <f>Relays!D6</f>
        <v>105.58016015318935</v>
      </c>
      <c r="C158" s="5">
        <f>Relays!E6</f>
        <v>31.557839127296809</v>
      </c>
      <c r="D158" t="s">
        <v>45</v>
      </c>
      <c r="E158" s="1">
        <f t="shared" ref="E158" si="25">E157</f>
        <v>119.75</v>
      </c>
      <c r="F158" s="1">
        <f t="shared" ref="F158" si="26">F157</f>
        <v>25.67</v>
      </c>
      <c r="G158" s="1">
        <f t="shared" ref="G158" si="27">SQRT((E158-B158)^2+(F158-C158)^2)</f>
        <v>15.344413018202749</v>
      </c>
      <c r="H158">
        <v>15.35</v>
      </c>
      <c r="I158" s="5">
        <f t="shared" si="21"/>
        <v>-5.5869817972507008E-3</v>
      </c>
    </row>
    <row r="159" spans="1:9" x14ac:dyDescent="0.2">
      <c r="A159" s="6" t="str">
        <f>Relays!A7</f>
        <v>R-S-1-5</v>
      </c>
      <c r="B159" s="5">
        <f>Relays!D7</f>
        <v>102.75141148499223</v>
      </c>
      <c r="C159" s="5">
        <f>Relays!E7</f>
        <v>35.436764750805224</v>
      </c>
      <c r="D159" t="s">
        <v>45</v>
      </c>
      <c r="E159" s="1">
        <f t="shared" ref="E159:E162" si="28">E158</f>
        <v>119.75</v>
      </c>
      <c r="F159" s="1">
        <f t="shared" ref="F159:F162" si="29">F158</f>
        <v>25.67</v>
      </c>
      <c r="G159" s="1">
        <f t="shared" ref="G159:G168" si="30">SQRT((E159-B159)^2+(F159-C159)^2)</f>
        <v>19.604634788746395</v>
      </c>
      <c r="H159">
        <v>19.600000000000001</v>
      </c>
      <c r="I159" s="5">
        <f t="shared" si="21"/>
        <v>4.6347887463937809E-3</v>
      </c>
    </row>
    <row r="160" spans="1:9" x14ac:dyDescent="0.2">
      <c r="A160" s="6" t="str">
        <f>Relays!A8</f>
        <v>R-S-1-6</v>
      </c>
      <c r="B160" s="5">
        <f>Relays!D8</f>
        <v>99.63903574142131</v>
      </c>
      <c r="C160" s="5">
        <f>Relays!E8</f>
        <v>38.930572469917976</v>
      </c>
      <c r="D160" t="s">
        <v>45</v>
      </c>
      <c r="E160" s="1">
        <f t="shared" si="28"/>
        <v>119.75</v>
      </c>
      <c r="F160" s="1">
        <f t="shared" si="29"/>
        <v>25.67</v>
      </c>
      <c r="G160" s="1">
        <f t="shared" si="30"/>
        <v>24.08928528702701</v>
      </c>
      <c r="H160">
        <v>24.09</v>
      </c>
      <c r="I160" s="5">
        <f t="shared" si="21"/>
        <v>-7.1471297298941749E-4</v>
      </c>
    </row>
    <row r="161" spans="1:9" x14ac:dyDescent="0.2">
      <c r="A161" s="6" t="str">
        <f>Relays!A9</f>
        <v>R-S-1-7</v>
      </c>
      <c r="B161" s="5">
        <f>Relays!D9</f>
        <v>96.302699184826693</v>
      </c>
      <c r="C161" s="5">
        <f>Relays!E9</f>
        <v>42.044776255314147</v>
      </c>
      <c r="D161" t="s">
        <v>45</v>
      </c>
      <c r="E161" s="1">
        <f t="shared" si="28"/>
        <v>119.75</v>
      </c>
      <c r="F161" s="1">
        <f t="shared" si="29"/>
        <v>25.67</v>
      </c>
      <c r="G161" s="1">
        <f t="shared" si="30"/>
        <v>28.599112100357708</v>
      </c>
      <c r="H161">
        <v>28.6</v>
      </c>
      <c r="I161" s="5">
        <f t="shared" si="21"/>
        <v>-8.878996422936325E-4</v>
      </c>
    </row>
    <row r="162" spans="1:9" x14ac:dyDescent="0.2">
      <c r="A162" s="6" t="str">
        <f>Relays!A10</f>
        <v>R-S-1-8</v>
      </c>
      <c r="B162" s="5">
        <f>Relays!D10</f>
        <v>92.794242227277053</v>
      </c>
      <c r="C162" s="5">
        <f>Relays!E10</f>
        <v>44.790132609494435</v>
      </c>
      <c r="D162" t="s">
        <v>45</v>
      </c>
      <c r="E162" s="1">
        <f t="shared" si="28"/>
        <v>119.75</v>
      </c>
      <c r="F162" s="1">
        <f t="shared" si="29"/>
        <v>25.67</v>
      </c>
      <c r="G162" s="1">
        <f t="shared" si="30"/>
        <v>33.048333514813812</v>
      </c>
      <c r="H162">
        <v>33.04</v>
      </c>
      <c r="I162" s="5">
        <f t="shared" si="21"/>
        <v>8.3335148138132809E-3</v>
      </c>
    </row>
    <row r="163" spans="1:9" x14ac:dyDescent="0.2">
      <c r="A163" s="6" t="str">
        <f>Relays!A11</f>
        <v>R-M-1-1</v>
      </c>
      <c r="B163" s="5">
        <f>Relays!D11</f>
        <v>98.576239608110257</v>
      </c>
      <c r="C163" s="5">
        <f>Relays!E11</f>
        <v>32.402578781011094</v>
      </c>
      <c r="D163" t="s">
        <v>45</v>
      </c>
      <c r="E163" s="1">
        <f t="shared" ref="E163:E166" si="31">E162</f>
        <v>119.75</v>
      </c>
      <c r="F163" s="1">
        <f t="shared" ref="F163:F166" si="32">F162</f>
        <v>25.67</v>
      </c>
      <c r="G163" s="1">
        <f t="shared" ref="G163:G166" si="33">SQRT((E163-B163)^2+(F163-C163)^2)</f>
        <v>22.218365065316569</v>
      </c>
      <c r="H163">
        <v>22.22</v>
      </c>
      <c r="I163" s="5">
        <f t="shared" si="21"/>
        <v>-1.6349346834303446E-3</v>
      </c>
    </row>
    <row r="164" spans="1:9" x14ac:dyDescent="0.2">
      <c r="A164" s="6" t="str">
        <f>Relays!A12</f>
        <v>R-M-1-2</v>
      </c>
      <c r="B164" s="5">
        <f>Relays!D12</f>
        <v>95.356535099252511</v>
      </c>
      <c r="C164" s="5">
        <f>Relays!E12</f>
        <v>35.718779114466876</v>
      </c>
      <c r="D164" t="s">
        <v>45</v>
      </c>
      <c r="E164" s="1">
        <f t="shared" si="31"/>
        <v>119.75</v>
      </c>
      <c r="F164" s="1">
        <f t="shared" si="32"/>
        <v>25.67</v>
      </c>
      <c r="G164" s="1">
        <f t="shared" si="33"/>
        <v>26.38217374583348</v>
      </c>
      <c r="H164">
        <v>26.38</v>
      </c>
      <c r="I164" s="5">
        <f t="shared" si="21"/>
        <v>2.1737458334811777E-3</v>
      </c>
    </row>
    <row r="165" spans="1:9" x14ac:dyDescent="0.2">
      <c r="A165" s="6" t="str">
        <f>Relays!A13</f>
        <v>R-M-1-3</v>
      </c>
      <c r="B165" s="5">
        <f>Relays!D13</f>
        <v>91.914326843467833</v>
      </c>
      <c r="C165" s="5">
        <f>Relays!E13</f>
        <v>38.609772116663052</v>
      </c>
      <c r="D165" t="s">
        <v>45</v>
      </c>
      <c r="E165" s="1">
        <f t="shared" si="31"/>
        <v>119.75</v>
      </c>
      <c r="F165" s="1">
        <f t="shared" si="32"/>
        <v>25.67</v>
      </c>
      <c r="G165" s="1">
        <f t="shared" si="33"/>
        <v>30.696292976652018</v>
      </c>
      <c r="H165">
        <v>30.7</v>
      </c>
      <c r="I165" s="5">
        <f t="shared" si="21"/>
        <v>-3.707023347981675E-3</v>
      </c>
    </row>
    <row r="166" spans="1:9" x14ac:dyDescent="0.2">
      <c r="A166" s="6" t="str">
        <f>Relays!A14</f>
        <v>R-M-1-4</v>
      </c>
      <c r="B166" s="5">
        <f>Relays!D14</f>
        <v>88.310962735096851</v>
      </c>
      <c r="C166" s="5">
        <f>Relays!E14</f>
        <v>41.092385063458273</v>
      </c>
      <c r="D166" t="s">
        <v>45</v>
      </c>
      <c r="E166" s="1">
        <f t="shared" si="31"/>
        <v>119.75</v>
      </c>
      <c r="F166" s="1">
        <f t="shared" si="32"/>
        <v>25.67</v>
      </c>
      <c r="G166" s="1">
        <f t="shared" si="33"/>
        <v>35.018038568565629</v>
      </c>
      <c r="H166">
        <v>35.020000000000003</v>
      </c>
      <c r="I166" s="5">
        <f t="shared" si="21"/>
        <v>-1.9614314343741057E-3</v>
      </c>
    </row>
    <row r="168" spans="1:9" x14ac:dyDescent="0.2">
      <c r="A168" s="6" t="str">
        <f>Relays!A3</f>
        <v>R-S-1-1</v>
      </c>
      <c r="B168" s="5">
        <f>Relays!D3</f>
        <v>111.6406603040468</v>
      </c>
      <c r="C168" s="5">
        <f>Relays!E3</f>
        <v>17.680828838964135</v>
      </c>
      <c r="D168" t="s">
        <v>38</v>
      </c>
      <c r="E168" s="1">
        <f>Landmarks!B21</f>
        <v>126.54</v>
      </c>
      <c r="F168" s="1">
        <f>Landmarks!C21</f>
        <v>0</v>
      </c>
      <c r="G168" s="1">
        <f t="shared" si="30"/>
        <v>23.121462579347195</v>
      </c>
      <c r="H168">
        <v>23.12</v>
      </c>
      <c r="I168" s="5">
        <f>G168-H168</f>
        <v>1.4625793471942927E-3</v>
      </c>
    </row>
    <row r="169" spans="1:9" x14ac:dyDescent="0.2">
      <c r="A169" s="6" t="str">
        <f>Relays!A4</f>
        <v>R-S-1-2</v>
      </c>
      <c r="B169" s="5">
        <f>Relays!D4</f>
        <v>110.10586943978981</v>
      </c>
      <c r="C169" s="5">
        <f>Relays!E4</f>
        <v>22.661644189220642</v>
      </c>
      <c r="D169" t="s">
        <v>38</v>
      </c>
      <c r="E169" s="1">
        <f>E168</f>
        <v>126.54</v>
      </c>
      <c r="F169" s="1">
        <f>F168</f>
        <v>0</v>
      </c>
      <c r="G169" s="1">
        <f t="shared" ref="G169:G170" si="34">SQRT((E169-B169)^2+(F169-C169)^2)</f>
        <v>27.99340573472389</v>
      </c>
      <c r="H169">
        <v>27.99</v>
      </c>
      <c r="I169" s="5">
        <f>G169-H169</f>
        <v>3.4057347238913849E-3</v>
      </c>
    </row>
    <row r="170" spans="1:9" x14ac:dyDescent="0.2">
      <c r="A170" s="6" t="str">
        <f>Relays!A5</f>
        <v>R-S-1-3</v>
      </c>
      <c r="B170" s="5">
        <f>Relays!D5</f>
        <v>108.0572329557146</v>
      </c>
      <c r="C170" s="5">
        <f>Relays!E5</f>
        <v>27.295576379410232</v>
      </c>
      <c r="D170" t="s">
        <v>38</v>
      </c>
      <c r="E170" s="1">
        <f>E169</f>
        <v>126.54</v>
      </c>
      <c r="F170" s="1">
        <f>F169</f>
        <v>0</v>
      </c>
      <c r="G170" s="1">
        <f t="shared" si="34"/>
        <v>32.964544096612961</v>
      </c>
      <c r="H170">
        <v>32.96</v>
      </c>
      <c r="I170" s="5">
        <f>G170-H170</f>
        <v>4.5440966129604021E-3</v>
      </c>
    </row>
    <row r="172" spans="1:9" x14ac:dyDescent="0.2">
      <c r="A172" s="6" t="str">
        <f>Landmarks!A8</f>
        <v>D</v>
      </c>
      <c r="B172" s="5">
        <f>Landmarks!B8</f>
        <v>76.89</v>
      </c>
      <c r="C172" s="5">
        <f>Landmarks!C8</f>
        <v>-38.99</v>
      </c>
      <c r="D172" t="s">
        <v>46</v>
      </c>
      <c r="E172" s="4">
        <v>94.11</v>
      </c>
      <c r="F172" s="4">
        <v>-47.14</v>
      </c>
      <c r="G172" s="1">
        <f t="shared" ref="G172" si="35">SQRT((E172-B172)^2+(F172-C172)^2)</f>
        <v>19.051270298854089</v>
      </c>
      <c r="H172">
        <v>19.05</v>
      </c>
      <c r="I172" s="5">
        <f>G172-H172</f>
        <v>1.2702988540880256E-3</v>
      </c>
    </row>
    <row r="173" spans="1:9" x14ac:dyDescent="0.2">
      <c r="A173" s="6" t="str">
        <f>Starts!F7</f>
        <v>400-5</v>
      </c>
      <c r="B173" s="5">
        <f>Starts!I7</f>
        <v>105.00915697117684</v>
      </c>
      <c r="C173" s="5">
        <f>Starts!J7</f>
        <v>-33.673281860108567</v>
      </c>
      <c r="D173" t="s">
        <v>46</v>
      </c>
      <c r="E173" s="1">
        <f>E172</f>
        <v>94.11</v>
      </c>
      <c r="F173" s="1">
        <f>F172</f>
        <v>-47.14</v>
      </c>
      <c r="G173" s="1">
        <f t="shared" ref="G173:G178" si="36">SQRT((E173-B173)^2+(F173-C173)^2)</f>
        <v>17.3246679662738</v>
      </c>
      <c r="H173">
        <v>17.32</v>
      </c>
      <c r="I173" s="5">
        <f>G173-H173</f>
        <v>4.6679662738000616E-3</v>
      </c>
    </row>
    <row r="175" spans="1:9" x14ac:dyDescent="0.2">
      <c r="A175" s="6" t="str">
        <f>Starts!F4</f>
        <v>400-2</v>
      </c>
      <c r="B175" s="5">
        <f>Starts!I4</f>
        <v>84.471885615915909</v>
      </c>
      <c r="C175" s="5">
        <f>Starts!J4</f>
        <v>-39.488721307572973</v>
      </c>
      <c r="D175" t="s">
        <v>47</v>
      </c>
      <c r="E175" s="4">
        <v>108.67</v>
      </c>
      <c r="F175" s="4">
        <v>-38.770000000000003</v>
      </c>
      <c r="G175" s="1">
        <f t="shared" si="36"/>
        <v>24.208785596621258</v>
      </c>
      <c r="H175">
        <v>24.22</v>
      </c>
      <c r="I175" s="5">
        <f t="shared" ref="I175:I187" si="37">G175-H175</f>
        <v>-1.1214403378740911E-2</v>
      </c>
    </row>
    <row r="176" spans="1:9" x14ac:dyDescent="0.2">
      <c r="A176" s="6" t="str">
        <f>Starts!F5</f>
        <v>400-3</v>
      </c>
      <c r="B176" s="5">
        <f>Starts!I5</f>
        <v>91.804781194531714</v>
      </c>
      <c r="C176" s="5">
        <f>Starts!J5</f>
        <v>-38.652221177045483</v>
      </c>
      <c r="D176" t="s">
        <v>47</v>
      </c>
      <c r="E176" s="1">
        <f>E175</f>
        <v>108.67</v>
      </c>
      <c r="F176" s="1">
        <f>F175</f>
        <v>-38.770000000000003</v>
      </c>
      <c r="G176" s="1">
        <f t="shared" si="36"/>
        <v>16.865630056640569</v>
      </c>
      <c r="H176">
        <v>16.87</v>
      </c>
      <c r="I176" s="5">
        <f t="shared" si="37"/>
        <v>-4.3699433594319714E-3</v>
      </c>
    </row>
    <row r="177" spans="1:9" x14ac:dyDescent="0.2">
      <c r="A177" s="6" t="str">
        <f>Starts!F6</f>
        <v>400-4</v>
      </c>
      <c r="B177" s="5">
        <f>Starts!I6</f>
        <v>98.69609026380661</v>
      </c>
      <c r="C177" s="5">
        <f>Starts!J6</f>
        <v>-36.654016524887396</v>
      </c>
      <c r="D177" t="s">
        <v>47</v>
      </c>
      <c r="E177" s="1">
        <f t="shared" ref="E177:E178" si="38">E176</f>
        <v>108.67</v>
      </c>
      <c r="F177" s="1">
        <f t="shared" ref="F177:F178" si="39">F176</f>
        <v>-38.770000000000003</v>
      </c>
      <c r="G177" s="1">
        <f t="shared" si="36"/>
        <v>10.195894344915651</v>
      </c>
      <c r="H177">
        <v>10.199999999999999</v>
      </c>
      <c r="I177" s="5">
        <f t="shared" si="37"/>
        <v>-4.1056550843485695E-3</v>
      </c>
    </row>
    <row r="178" spans="1:9" x14ac:dyDescent="0.2">
      <c r="A178" s="6" t="str">
        <f>Starts!F8</f>
        <v>400-6</v>
      </c>
      <c r="B178" s="5">
        <f>Starts!I8</f>
        <v>110.65390733537667</v>
      </c>
      <c r="C178" s="5">
        <f>Starts!J8</f>
        <v>-29.884890186314838</v>
      </c>
      <c r="D178" t="s">
        <v>47</v>
      </c>
      <c r="E178" s="1">
        <f t="shared" si="38"/>
        <v>108.67</v>
      </c>
      <c r="F178" s="1">
        <f t="shared" si="39"/>
        <v>-38.770000000000003</v>
      </c>
      <c r="G178" s="1">
        <f t="shared" si="36"/>
        <v>9.103903817407442</v>
      </c>
      <c r="H178">
        <v>9.1</v>
      </c>
      <c r="I178" s="5">
        <f t="shared" si="37"/>
        <v>3.9038174074423893E-3</v>
      </c>
    </row>
    <row r="179" spans="1:9" x14ac:dyDescent="0.2">
      <c r="A179" s="6" t="str">
        <f>Starts!F9</f>
        <v>400-7</v>
      </c>
      <c r="B179" s="5">
        <f>Starts!I9</f>
        <v>115.57793869720453</v>
      </c>
      <c r="C179" s="5">
        <f>Starts!J9</f>
        <v>-25.453084279932426</v>
      </c>
      <c r="D179" t="s">
        <v>47</v>
      </c>
      <c r="E179" s="1">
        <f t="shared" ref="E179:E180" si="40">E178</f>
        <v>108.67</v>
      </c>
      <c r="F179" s="1">
        <f t="shared" ref="F179:F180" si="41">F178</f>
        <v>-38.770000000000003</v>
      </c>
      <c r="G179" s="1">
        <f t="shared" ref="G179:G180" si="42">SQRT((E179-B179)^2+(F179-C179)^2)</f>
        <v>15.001995245290498</v>
      </c>
      <c r="H179">
        <v>15</v>
      </c>
      <c r="I179" s="5">
        <f t="shared" si="37"/>
        <v>1.9952452904981044E-3</v>
      </c>
    </row>
    <row r="180" spans="1:9" x14ac:dyDescent="0.2">
      <c r="A180" s="6" t="str">
        <f>Starts!F10</f>
        <v>400-8</v>
      </c>
      <c r="B180" s="5">
        <f>Starts!I10</f>
        <v>119.75851470399607</v>
      </c>
      <c r="C180" s="5">
        <f>Starts!J10</f>
        <v>-20.527818858156163</v>
      </c>
      <c r="D180" t="s">
        <v>47</v>
      </c>
      <c r="E180" s="1">
        <f t="shared" si="40"/>
        <v>108.67</v>
      </c>
      <c r="F180" s="1">
        <f t="shared" si="41"/>
        <v>-38.770000000000003</v>
      </c>
      <c r="G180" s="1">
        <f t="shared" si="42"/>
        <v>21.347888212949311</v>
      </c>
      <c r="H180">
        <v>21.34</v>
      </c>
      <c r="I180" s="5">
        <f t="shared" si="37"/>
        <v>7.8882129493109687E-3</v>
      </c>
    </row>
    <row r="181" spans="1:9" x14ac:dyDescent="0.2">
      <c r="A181" t="str">
        <f>Starts!K4</f>
        <v>800-S-2</v>
      </c>
      <c r="B181" s="1">
        <f>Starts!N4</f>
        <v>80.698058312479688</v>
      </c>
      <c r="C181" s="1">
        <f>Starts!O4</f>
        <v>-40.029274186384576</v>
      </c>
      <c r="D181" t="s">
        <v>47</v>
      </c>
      <c r="E181" s="1">
        <f t="shared" ref="E181:E187" si="43">E180</f>
        <v>108.67</v>
      </c>
      <c r="F181" s="1">
        <f t="shared" ref="F181:F187" si="44">F180</f>
        <v>-38.770000000000003</v>
      </c>
      <c r="G181" s="1">
        <f t="shared" ref="G181:G187" si="45">SQRT((E181-B181)^2+(F181-C181)^2)</f>
        <v>28.000273092356284</v>
      </c>
      <c r="H181">
        <v>28</v>
      </c>
      <c r="I181" s="1">
        <f t="shared" si="37"/>
        <v>2.7309235628436568E-4</v>
      </c>
    </row>
    <row r="182" spans="1:9" x14ac:dyDescent="0.2">
      <c r="A182" t="str">
        <f>Starts!K5</f>
        <v>800-S-3</v>
      </c>
      <c r="B182" s="1">
        <f>Starts!N5</f>
        <v>84.485407295508381</v>
      </c>
      <c r="C182" s="1">
        <f>Starts!O5</f>
        <v>-40.727812217394366</v>
      </c>
      <c r="D182" t="s">
        <v>47</v>
      </c>
      <c r="E182" s="1">
        <f t="shared" si="43"/>
        <v>108.67</v>
      </c>
      <c r="F182" s="1">
        <f t="shared" si="44"/>
        <v>-38.770000000000003</v>
      </c>
      <c r="G182" s="1">
        <f t="shared" si="45"/>
        <v>24.263708557447025</v>
      </c>
      <c r="H182">
        <v>24.24</v>
      </c>
      <c r="I182" s="1">
        <f t="shared" si="37"/>
        <v>2.3708557447026379E-2</v>
      </c>
    </row>
    <row r="183" spans="1:9" x14ac:dyDescent="0.2">
      <c r="A183" t="str">
        <f>Starts!K6</f>
        <v>800-S-4</v>
      </c>
      <c r="B183" s="1">
        <f>Starts!N6</f>
        <v>88.216904887867315</v>
      </c>
      <c r="C183" s="1">
        <f>Starts!O6</f>
        <v>-41.118411030354849</v>
      </c>
      <c r="D183" t="s">
        <v>47</v>
      </c>
      <c r="E183" s="1">
        <f t="shared" si="43"/>
        <v>108.67</v>
      </c>
      <c r="F183" s="1">
        <f t="shared" si="44"/>
        <v>-38.770000000000003</v>
      </c>
      <c r="G183" s="1">
        <f t="shared" si="45"/>
        <v>20.587475173839028</v>
      </c>
      <c r="H183">
        <v>20.53</v>
      </c>
      <c r="I183" s="1">
        <f t="shared" si="37"/>
        <v>5.7475173839026894E-2</v>
      </c>
    </row>
    <row r="184" spans="1:9" x14ac:dyDescent="0.2">
      <c r="A184" t="str">
        <f>Starts!K7</f>
        <v>800-S-5</v>
      </c>
      <c r="B184" s="1">
        <f>Starts!N7</f>
        <v>91.938978820096153</v>
      </c>
      <c r="C184" s="1">
        <f>Starts!O7</f>
        <v>-41.208071253970353</v>
      </c>
      <c r="D184" t="s">
        <v>47</v>
      </c>
      <c r="E184" s="1">
        <f t="shared" si="43"/>
        <v>108.67</v>
      </c>
      <c r="F184" s="1">
        <f t="shared" si="44"/>
        <v>-38.770000000000003</v>
      </c>
      <c r="G184" s="1">
        <f t="shared" si="45"/>
        <v>16.907727853316889</v>
      </c>
      <c r="H184">
        <v>16.86</v>
      </c>
      <c r="I184" s="1">
        <f t="shared" si="37"/>
        <v>4.7727853316889224E-2</v>
      </c>
    </row>
    <row r="185" spans="1:9" x14ac:dyDescent="0.2">
      <c r="A185" t="str">
        <f>Starts!K8</f>
        <v>800-S-6</v>
      </c>
      <c r="B185" s="1">
        <f>Starts!N8</f>
        <v>95.595271445875511</v>
      </c>
      <c r="C185" s="1">
        <f>Starts!O8</f>
        <v>-41.027075451902661</v>
      </c>
      <c r="D185" t="s">
        <v>47</v>
      </c>
      <c r="E185" s="1">
        <f t="shared" si="43"/>
        <v>108.67</v>
      </c>
      <c r="F185" s="1">
        <f t="shared" si="44"/>
        <v>-38.770000000000003</v>
      </c>
      <c r="G185" s="1">
        <f t="shared" si="45"/>
        <v>13.268116533993055</v>
      </c>
      <c r="H185">
        <v>13.25</v>
      </c>
      <c r="I185" s="1">
        <f t="shared" si="37"/>
        <v>1.8116533993055128E-2</v>
      </c>
    </row>
    <row r="186" spans="1:9" x14ac:dyDescent="0.2">
      <c r="A186" t="str">
        <f>Starts!K9</f>
        <v>800-S-7</v>
      </c>
      <c r="B186" s="1">
        <f>Starts!N9</f>
        <v>99.145880032316171</v>
      </c>
      <c r="C186" s="1">
        <f>Starts!O9</f>
        <v>-40.611475028459019</v>
      </c>
      <c r="D186" t="s">
        <v>47</v>
      </c>
      <c r="E186" s="1">
        <f t="shared" si="43"/>
        <v>108.67</v>
      </c>
      <c r="F186" s="1">
        <f t="shared" si="44"/>
        <v>-38.770000000000003</v>
      </c>
      <c r="G186" s="1">
        <f t="shared" si="45"/>
        <v>9.7005098546041371</v>
      </c>
      <c r="H186">
        <v>9.69</v>
      </c>
      <c r="I186" s="1">
        <f t="shared" si="37"/>
        <v>1.0509854604137558E-2</v>
      </c>
    </row>
    <row r="187" spans="1:9" x14ac:dyDescent="0.2">
      <c r="A187" t="str">
        <f>Starts!K10</f>
        <v>800-S-8</v>
      </c>
      <c r="B187" s="1">
        <f>Starts!N10</f>
        <v>102.58321406925162</v>
      </c>
      <c r="C187" s="1">
        <f>Starts!O10</f>
        <v>-39.986993520288692</v>
      </c>
      <c r="D187" t="s">
        <v>47</v>
      </c>
      <c r="E187" s="1">
        <f t="shared" si="43"/>
        <v>108.67</v>
      </c>
      <c r="F187" s="1">
        <f t="shared" si="44"/>
        <v>-38.770000000000003</v>
      </c>
      <c r="G187" s="1">
        <f t="shared" si="45"/>
        <v>6.2072567366898106</v>
      </c>
      <c r="H187">
        <v>6.18</v>
      </c>
      <c r="I187" s="1">
        <f t="shared" si="37"/>
        <v>2.7256736689810879E-2</v>
      </c>
    </row>
    <row r="189" spans="1:9" x14ac:dyDescent="0.2">
      <c r="A189" s="6" t="str">
        <f>Hurdles!A46</f>
        <v>H-6-4</v>
      </c>
      <c r="B189" s="5">
        <f>Hurdles!F46</f>
        <v>-28.60377662441444</v>
      </c>
      <c r="C189" s="5">
        <f>Hurdles!G46</f>
        <v>31.636157523008414</v>
      </c>
      <c r="D189" t="s">
        <v>50</v>
      </c>
      <c r="E189" s="4">
        <v>-28.62</v>
      </c>
      <c r="F189" s="4">
        <v>12.11</v>
      </c>
      <c r="G189" s="1">
        <f t="shared" ref="G189" si="46">SQRT((E189-B189)^2+(F189-C189)^2)</f>
        <v>19.526164262631141</v>
      </c>
      <c r="H189">
        <v>19.53</v>
      </c>
      <c r="I189" s="5">
        <f t="shared" ref="I189:I201" si="47">G189-H189</f>
        <v>-3.8357373688597818E-3</v>
      </c>
    </row>
    <row r="190" spans="1:9" x14ac:dyDescent="0.2">
      <c r="A190" s="6" t="str">
        <f>Hurdles!A47</f>
        <v>H-6-5</v>
      </c>
      <c r="B190" s="5">
        <f>Hurdles!F47</f>
        <v>-31.522986898456178</v>
      </c>
      <c r="C190" s="5">
        <f>Hurdles!G47</f>
        <v>30.51029657344812</v>
      </c>
      <c r="D190" t="s">
        <v>50</v>
      </c>
      <c r="E190" s="1">
        <f>E189</f>
        <v>-28.62</v>
      </c>
      <c r="F190" s="1">
        <f>F189</f>
        <v>12.11</v>
      </c>
      <c r="G190" s="1">
        <f t="shared" ref="G190:G193" si="48">SQRT((E190-B190)^2+(F190-C190)^2)</f>
        <v>18.627888955097806</v>
      </c>
      <c r="H190">
        <v>18.63</v>
      </c>
      <c r="I190" s="5">
        <f t="shared" si="47"/>
        <v>-2.1110449021932709E-3</v>
      </c>
    </row>
    <row r="191" spans="1:9" x14ac:dyDescent="0.2">
      <c r="A191" s="6" t="str">
        <f>Hurdles!A48</f>
        <v>H-6-6</v>
      </c>
      <c r="B191" s="5">
        <f>Hurdles!F48</f>
        <v>-34.310530251320579</v>
      </c>
      <c r="C191" s="5">
        <f>Hurdles!G48</f>
        <v>29.255693700085377</v>
      </c>
      <c r="D191" t="s">
        <v>50</v>
      </c>
      <c r="E191" s="1">
        <f t="shared" ref="E191:E193" si="49">E190</f>
        <v>-28.62</v>
      </c>
      <c r="F191" s="1">
        <f t="shared" ref="F191:F193" si="50">F190</f>
        <v>12.11</v>
      </c>
      <c r="G191" s="1">
        <f t="shared" si="48"/>
        <v>18.0653521138765</v>
      </c>
      <c r="H191">
        <v>18.07</v>
      </c>
      <c r="I191" s="5">
        <f t="shared" si="47"/>
        <v>-4.6478861235002E-3</v>
      </c>
    </row>
    <row r="192" spans="1:9" x14ac:dyDescent="0.2">
      <c r="A192" s="6" t="str">
        <f>Hurdles!A49</f>
        <v>H-6-7</v>
      </c>
      <c r="B192" s="5">
        <f>Hurdles!F49</f>
        <v>-36.96950673449124</v>
      </c>
      <c r="C192" s="5">
        <f>Hurdles!G49</f>
        <v>27.890350872809151</v>
      </c>
      <c r="D192" t="s">
        <v>50</v>
      </c>
      <c r="E192" s="1">
        <f t="shared" si="49"/>
        <v>-28.62</v>
      </c>
      <c r="F192" s="1">
        <f t="shared" si="50"/>
        <v>12.11</v>
      </c>
      <c r="G192" s="1">
        <f t="shared" si="48"/>
        <v>17.853115593035383</v>
      </c>
      <c r="H192">
        <v>17.850000000000001</v>
      </c>
      <c r="I192" s="5">
        <f t="shared" si="47"/>
        <v>3.1155930353818917E-3</v>
      </c>
    </row>
    <row r="193" spans="1:9" x14ac:dyDescent="0.2">
      <c r="A193" s="6" t="str">
        <f>Hurdles!A50</f>
        <v>H-6-8</v>
      </c>
      <c r="B193" s="5">
        <f>Hurdles!F50</f>
        <v>-39.503857141138973</v>
      </c>
      <c r="C193" s="5">
        <f>Hurdles!G50</f>
        <v>26.430024044114734</v>
      </c>
      <c r="D193" t="s">
        <v>50</v>
      </c>
      <c r="E193" s="1">
        <f t="shared" si="49"/>
        <v>-28.62</v>
      </c>
      <c r="F193" s="1">
        <f t="shared" si="50"/>
        <v>12.11</v>
      </c>
      <c r="G193" s="1">
        <f t="shared" si="48"/>
        <v>17.986701612378681</v>
      </c>
      <c r="H193">
        <v>17.989999999999998</v>
      </c>
      <c r="I193" s="5">
        <f t="shared" si="47"/>
        <v>-3.2983876213172891E-3</v>
      </c>
    </row>
    <row r="194" spans="1:9" x14ac:dyDescent="0.2">
      <c r="A194" s="6" t="str">
        <f>Hurdles!A51</f>
        <v>H-7-1</v>
      </c>
      <c r="B194" s="5">
        <f>Hurdles!F51</f>
        <v>-38.445530569292728</v>
      </c>
      <c r="C194" s="5">
        <f>Hurdles!G51</f>
        <v>6.4931717400341897</v>
      </c>
      <c r="D194" t="s">
        <v>50</v>
      </c>
      <c r="E194" s="1">
        <f t="shared" ref="E194:E201" si="51">E193</f>
        <v>-28.62</v>
      </c>
      <c r="F194" s="1">
        <f t="shared" ref="F194:F201" si="52">F193</f>
        <v>12.11</v>
      </c>
      <c r="G194" s="1">
        <f t="shared" ref="G194:G201" si="53">SQRT((E194-B194)^2+(F194-C194)^2)</f>
        <v>11.317676911365531</v>
      </c>
      <c r="H194">
        <v>11.31</v>
      </c>
      <c r="I194" s="5">
        <f t="shared" si="47"/>
        <v>7.6769113655306143E-3</v>
      </c>
    </row>
    <row r="195" spans="1:9" x14ac:dyDescent="0.2">
      <c r="A195" s="6" t="str">
        <f>Hurdles!A52</f>
        <v>H-7-2</v>
      </c>
      <c r="B195" s="5">
        <f>Hurdles!F52</f>
        <v>-39.945145112746069</v>
      </c>
      <c r="C195" s="5">
        <f>Hurdles!G52</f>
        <v>4.6075461931117792</v>
      </c>
      <c r="D195" t="s">
        <v>50</v>
      </c>
      <c r="E195" s="1">
        <f t="shared" si="51"/>
        <v>-28.62</v>
      </c>
      <c r="F195" s="1">
        <f t="shared" si="52"/>
        <v>12.11</v>
      </c>
      <c r="G195" s="1">
        <f t="shared" si="53"/>
        <v>13.584760761575733</v>
      </c>
      <c r="H195">
        <v>13.58</v>
      </c>
      <c r="I195" s="5">
        <f t="shared" si="47"/>
        <v>4.7607615757332411E-3</v>
      </c>
    </row>
    <row r="196" spans="1:9" x14ac:dyDescent="0.2">
      <c r="A196" s="6" t="str">
        <f>Hurdles!A53</f>
        <v>H-7-3</v>
      </c>
      <c r="B196" s="5">
        <f>Hurdles!F53</f>
        <v>-41.34132067316807</v>
      </c>
      <c r="C196" s="5">
        <f>Hurdles!G53</f>
        <v>2.7092628145468716</v>
      </c>
      <c r="D196" t="s">
        <v>50</v>
      </c>
      <c r="E196" s="1">
        <f t="shared" si="51"/>
        <v>-28.62</v>
      </c>
      <c r="F196" s="1">
        <f t="shared" si="52"/>
        <v>12.11</v>
      </c>
      <c r="G196" s="1">
        <f t="shared" si="53"/>
        <v>15.817896803922274</v>
      </c>
      <c r="H196">
        <v>15.81</v>
      </c>
      <c r="I196" s="5">
        <f t="shared" si="47"/>
        <v>7.8968039222733211E-3</v>
      </c>
    </row>
    <row r="197" spans="1:9" x14ac:dyDescent="0.2">
      <c r="A197" s="6" t="str">
        <f>Hurdles!A54</f>
        <v>H-7-4</v>
      </c>
      <c r="B197" s="5">
        <f>Hurdles!F54</f>
        <v>-42.642419377687176</v>
      </c>
      <c r="C197" s="5">
        <f>Hurdles!G54</f>
        <v>0.80409552756439973</v>
      </c>
      <c r="D197" t="s">
        <v>50</v>
      </c>
      <c r="E197" s="1">
        <f t="shared" si="51"/>
        <v>-28.62</v>
      </c>
      <c r="F197" s="1">
        <f t="shared" si="52"/>
        <v>12.11</v>
      </c>
      <c r="G197" s="1">
        <f t="shared" si="53"/>
        <v>18.012543439047583</v>
      </c>
      <c r="H197">
        <v>18.010000000000002</v>
      </c>
      <c r="I197" s="5">
        <f t="shared" si="47"/>
        <v>2.543439047581586E-3</v>
      </c>
    </row>
    <row r="198" spans="1:9" x14ac:dyDescent="0.2">
      <c r="A198" s="6" t="str">
        <f>Hurdles!A55</f>
        <v>H-7-5</v>
      </c>
      <c r="B198" s="5">
        <f>Hurdles!F55</f>
        <v>-43.856123923102061</v>
      </c>
      <c r="C198" s="5">
        <f>Hurdles!G55</f>
        <v>-1.1033106731625659</v>
      </c>
      <c r="D198" t="s">
        <v>50</v>
      </c>
      <c r="E198" s="1">
        <f t="shared" si="51"/>
        <v>-28.62</v>
      </c>
      <c r="F198" s="1">
        <f t="shared" si="52"/>
        <v>12.11</v>
      </c>
      <c r="G198" s="1">
        <f t="shared" si="53"/>
        <v>20.167574250405888</v>
      </c>
      <c r="H198">
        <v>20.16</v>
      </c>
      <c r="I198" s="5">
        <f t="shared" si="47"/>
        <v>7.5742504058879945E-3</v>
      </c>
    </row>
    <row r="199" spans="1:9" x14ac:dyDescent="0.2">
      <c r="A199" s="6" t="str">
        <f>Hurdles!A56</f>
        <v>H-7-6</v>
      </c>
      <c r="B199" s="5">
        <f>Hurdles!F56</f>
        <v>-44.989472286508523</v>
      </c>
      <c r="C199" s="5">
        <f>Hurdles!G56</f>
        <v>-3.0092330221305645</v>
      </c>
      <c r="D199" t="s">
        <v>50</v>
      </c>
      <c r="E199" s="1">
        <f t="shared" si="51"/>
        <v>-28.62</v>
      </c>
      <c r="F199" s="1">
        <f t="shared" si="52"/>
        <v>12.11</v>
      </c>
      <c r="G199" s="1">
        <f t="shared" si="53"/>
        <v>22.283420521011891</v>
      </c>
      <c r="H199">
        <v>22.28</v>
      </c>
      <c r="I199" s="5">
        <f t="shared" si="47"/>
        <v>3.4205210118898322E-3</v>
      </c>
    </row>
    <row r="200" spans="1:9" x14ac:dyDescent="0.2">
      <c r="A200" s="6" t="str">
        <f>Hurdles!A57</f>
        <v>H-7-7</v>
      </c>
      <c r="B200" s="5">
        <f>Hurdles!F57</f>
        <v>-46.048898999844305</v>
      </c>
      <c r="C200" s="5">
        <f>Hurdles!G57</f>
        <v>-4.9107026892429104</v>
      </c>
      <c r="D200" t="s">
        <v>50</v>
      </c>
      <c r="E200" s="1">
        <f t="shared" si="51"/>
        <v>-28.62</v>
      </c>
      <c r="F200" s="1">
        <f t="shared" si="52"/>
        <v>12.11</v>
      </c>
      <c r="G200" s="1">
        <f t="shared" si="53"/>
        <v>24.361256954073092</v>
      </c>
      <c r="H200">
        <v>24.36</v>
      </c>
      <c r="I200" s="5">
        <f t="shared" si="47"/>
        <v>1.2569540730922313E-3</v>
      </c>
    </row>
    <row r="201" spans="1:9" x14ac:dyDescent="0.2">
      <c r="A201" s="6" t="str">
        <f>Hurdles!A58</f>
        <v>H-7-8</v>
      </c>
      <c r="B201" s="5">
        <f>Hurdles!F58</f>
        <v>-47.04027925063054</v>
      </c>
      <c r="C201" s="5">
        <f>Hurdles!G58</f>
        <v>-6.8053675890944527</v>
      </c>
      <c r="D201" t="s">
        <v>50</v>
      </c>
      <c r="E201" s="1">
        <f t="shared" si="51"/>
        <v>-28.62</v>
      </c>
      <c r="F201" s="1">
        <f t="shared" si="52"/>
        <v>12.11</v>
      </c>
      <c r="G201" s="1">
        <f t="shared" si="53"/>
        <v>26.402610073660803</v>
      </c>
      <c r="H201">
        <v>26.4</v>
      </c>
      <c r="I201" s="5">
        <f t="shared" si="47"/>
        <v>2.6100736608043462E-3</v>
      </c>
    </row>
    <row r="203" spans="1:9" x14ac:dyDescent="0.2">
      <c r="A203" s="6" t="str">
        <f>Hurdles!A59</f>
        <v>H-8-1</v>
      </c>
      <c r="B203" s="5">
        <f>Hurdles!F59</f>
        <v>-29.163003299198994</v>
      </c>
      <c r="C203" s="5">
        <f>Hurdles!G59</f>
        <v>-25.879322606492405</v>
      </c>
      <c r="D203" t="s">
        <v>49</v>
      </c>
      <c r="E203" s="4">
        <v>-33.340000000000003</v>
      </c>
      <c r="F203" s="4">
        <v>0.5</v>
      </c>
      <c r="G203" s="1">
        <f t="shared" ref="G203" si="54">SQRT((E203-B203)^2+(F203-C203)^2)</f>
        <v>26.707975636800025</v>
      </c>
      <c r="H203">
        <v>26.71</v>
      </c>
      <c r="I203" s="5">
        <f t="shared" ref="I203:I218" si="55">G203-H203</f>
        <v>-2.0243631999754541E-3</v>
      </c>
    </row>
    <row r="204" spans="1:9" x14ac:dyDescent="0.2">
      <c r="A204" s="6" t="str">
        <f>Hurdles!A60</f>
        <v>H-8-2</v>
      </c>
      <c r="B204" s="5">
        <f>Hurdles!F60</f>
        <v>-29.38495031138708</v>
      </c>
      <c r="C204" s="5">
        <f>Hurdles!G60</f>
        <v>-27.447564467495329</v>
      </c>
      <c r="D204" t="s">
        <v>49</v>
      </c>
      <c r="E204" s="1">
        <f>E203</f>
        <v>-33.340000000000003</v>
      </c>
      <c r="F204" s="1">
        <f>F203</f>
        <v>0.5</v>
      </c>
      <c r="G204" s="1">
        <f t="shared" ref="G204" si="56">SQRT((E204-B204)^2+(F204-C204)^2)</f>
        <v>28.226030144251681</v>
      </c>
      <c r="H204">
        <v>28.23</v>
      </c>
      <c r="I204" s="5">
        <f t="shared" si="55"/>
        <v>-3.9698557483198726E-3</v>
      </c>
    </row>
    <row r="205" spans="1:9" x14ac:dyDescent="0.2">
      <c r="A205" s="6" t="str">
        <f>Hurdles!A61</f>
        <v>H-8-3</v>
      </c>
      <c r="B205" s="5">
        <f>Hurdles!F61</f>
        <v>-29.588683385662058</v>
      </c>
      <c r="C205" s="5">
        <f>Hurdles!G61</f>
        <v>-28.999219222300557</v>
      </c>
      <c r="D205" t="s">
        <v>49</v>
      </c>
      <c r="E205" s="1">
        <f t="shared" ref="E205:E210" si="57">E204</f>
        <v>-33.340000000000003</v>
      </c>
      <c r="F205" s="1">
        <f t="shared" ref="F205:F210" si="58">F204</f>
        <v>0.5</v>
      </c>
      <c r="G205" s="1">
        <f t="shared" ref="G205:G210" si="59">SQRT((E205-B205)^2+(F205-C205)^2)</f>
        <v>29.736783805017559</v>
      </c>
      <c r="H205">
        <v>29.74</v>
      </c>
      <c r="I205" s="5">
        <f t="shared" si="55"/>
        <v>-3.2161949824391911E-3</v>
      </c>
    </row>
    <row r="206" spans="1:9" x14ac:dyDescent="0.2">
      <c r="A206" s="6" t="str">
        <f>Hurdles!A62</f>
        <v>H-8-4</v>
      </c>
      <c r="B206" s="5">
        <f>Hurdles!F62</f>
        <v>-29.776125558281276</v>
      </c>
      <c r="C206" s="5">
        <f>Hurdles!G62</f>
        <v>-30.535304922948917</v>
      </c>
      <c r="D206" t="s">
        <v>49</v>
      </c>
      <c r="E206" s="1">
        <f t="shared" si="57"/>
        <v>-33.340000000000003</v>
      </c>
      <c r="F206" s="1">
        <f t="shared" si="58"/>
        <v>0.5</v>
      </c>
      <c r="G206" s="1">
        <f t="shared" si="59"/>
        <v>31.239259797516862</v>
      </c>
      <c r="H206">
        <v>31.24</v>
      </c>
      <c r="I206" s="5">
        <f t="shared" si="55"/>
        <v>-7.4020248313644288E-4</v>
      </c>
    </row>
    <row r="207" spans="1:9" x14ac:dyDescent="0.2">
      <c r="A207" s="6" t="str">
        <f>Hurdles!A63</f>
        <v>H-8-5</v>
      </c>
      <c r="B207" s="5">
        <f>Hurdles!F63</f>
        <v>-29.948955401614509</v>
      </c>
      <c r="C207" s="5">
        <f>Hurdles!G63</f>
        <v>-32.056777292050192</v>
      </c>
      <c r="D207" t="s">
        <v>49</v>
      </c>
      <c r="E207" s="1">
        <f t="shared" si="57"/>
        <v>-33.340000000000003</v>
      </c>
      <c r="F207" s="1">
        <f t="shared" si="58"/>
        <v>0.5</v>
      </c>
      <c r="G207" s="1">
        <f t="shared" si="59"/>
        <v>32.732902882457502</v>
      </c>
      <c r="H207">
        <v>32.74</v>
      </c>
      <c r="I207" s="5">
        <f t="shared" si="55"/>
        <v>-7.0971175425000865E-3</v>
      </c>
    </row>
    <row r="208" spans="1:9" x14ac:dyDescent="0.2">
      <c r="A208" s="6" t="str">
        <f>Hurdles!A64</f>
        <v>H-8-6</v>
      </c>
      <c r="B208" s="5">
        <f>Hurdles!F64</f>
        <v>-30.108642917705101</v>
      </c>
      <c r="C208" s="5">
        <f>Hurdles!G64</f>
        <v>-33.564530708087162</v>
      </c>
      <c r="D208" t="s">
        <v>49</v>
      </c>
      <c r="E208" s="1">
        <f t="shared" si="57"/>
        <v>-33.340000000000003</v>
      </c>
      <c r="F208" s="1">
        <f t="shared" si="58"/>
        <v>0.5</v>
      </c>
      <c r="G208" s="1">
        <f t="shared" si="59"/>
        <v>34.217450532666966</v>
      </c>
      <c r="H208">
        <v>34.22</v>
      </c>
      <c r="I208" s="5">
        <f t="shared" si="55"/>
        <v>-2.549467333032851E-3</v>
      </c>
    </row>
    <row r="209" spans="1:9" x14ac:dyDescent="0.2">
      <c r="A209" s="6" t="str">
        <f>Hurdles!A65</f>
        <v>H-8-7</v>
      </c>
      <c r="B209" s="5">
        <f>Hurdles!F65</f>
        <v>-30.256479519418686</v>
      </c>
      <c r="C209" s="5">
        <f>Hurdles!G65</f>
        <v>-35.059400267132311</v>
      </c>
      <c r="D209" t="s">
        <v>49</v>
      </c>
      <c r="E209" s="1">
        <f t="shared" si="57"/>
        <v>-33.340000000000003</v>
      </c>
      <c r="F209" s="1">
        <f t="shared" si="58"/>
        <v>0.5</v>
      </c>
      <c r="G209" s="1">
        <f t="shared" si="59"/>
        <v>35.692843062892791</v>
      </c>
      <c r="H209">
        <v>35.69</v>
      </c>
      <c r="I209" s="5">
        <f t="shared" si="55"/>
        <v>2.8430628927935686E-3</v>
      </c>
    </row>
    <row r="210" spans="1:9" x14ac:dyDescent="0.2">
      <c r="A210" s="6" t="str">
        <f>Hurdles!A66</f>
        <v>H-8-8</v>
      </c>
      <c r="B210" s="5">
        <f>Hurdles!F66</f>
        <v>-30.393603167924773</v>
      </c>
      <c r="C210" s="5">
        <f>Hurdles!G66</f>
        <v>-36.542164501719277</v>
      </c>
      <c r="D210" t="s">
        <v>49</v>
      </c>
      <c r="E210" s="1">
        <f t="shared" si="57"/>
        <v>-33.340000000000003</v>
      </c>
      <c r="F210" s="1">
        <f t="shared" si="58"/>
        <v>0.5</v>
      </c>
      <c r="G210" s="1">
        <f t="shared" si="59"/>
        <v>37.159160448865023</v>
      </c>
      <c r="H210">
        <v>37.159999999999997</v>
      </c>
      <c r="I210" s="5">
        <f t="shared" si="55"/>
        <v>-8.3955113497324874E-4</v>
      </c>
    </row>
    <row r="211" spans="1:9" x14ac:dyDescent="0.2">
      <c r="A211" s="6" t="str">
        <f>Relays!K3</f>
        <v>R-S-3-1</v>
      </c>
      <c r="B211" s="5">
        <f>Relays!N3</f>
        <v>-34.750660304046811</v>
      </c>
      <c r="C211" s="5">
        <f>Relays!O3</f>
        <v>-17.680828838964125</v>
      </c>
      <c r="D211" t="s">
        <v>49</v>
      </c>
      <c r="E211" s="1">
        <f t="shared" ref="E211:E218" si="60">E210</f>
        <v>-33.340000000000003</v>
      </c>
      <c r="F211" s="1">
        <f t="shared" ref="F211:F218" si="61">F210</f>
        <v>0.5</v>
      </c>
      <c r="G211" s="1">
        <f t="shared" ref="G211:G218" si="62">SQRT((E211-B211)^2+(F211-C211)^2)</f>
        <v>18.235473664402662</v>
      </c>
      <c r="H211">
        <v>18.239999999999998</v>
      </c>
      <c r="I211" s="5">
        <f t="shared" si="55"/>
        <v>-4.5263355973368391E-3</v>
      </c>
    </row>
    <row r="212" spans="1:9" x14ac:dyDescent="0.2">
      <c r="A212" s="6" t="str">
        <f>Relays!K4</f>
        <v>R-S-3-2</v>
      </c>
      <c r="B212" s="5">
        <f>Relays!N4</f>
        <v>-35.212733341798476</v>
      </c>
      <c r="C212" s="5">
        <f>Relays!O4</f>
        <v>-19.414105969613793</v>
      </c>
      <c r="D212" t="s">
        <v>49</v>
      </c>
      <c r="E212" s="1">
        <f t="shared" si="60"/>
        <v>-33.340000000000003</v>
      </c>
      <c r="F212" s="1">
        <f t="shared" si="61"/>
        <v>0.5</v>
      </c>
      <c r="G212" s="1">
        <f t="shared" si="62"/>
        <v>20.001968571580431</v>
      </c>
      <c r="H212">
        <v>20</v>
      </c>
      <c r="I212" s="5">
        <f t="shared" si="55"/>
        <v>1.9685715804307335E-3</v>
      </c>
    </row>
    <row r="213" spans="1:9" x14ac:dyDescent="0.2">
      <c r="A213" s="6" t="str">
        <f>Relays!K5</f>
        <v>R-S-3-3</v>
      </c>
      <c r="B213" s="5">
        <f>Relays!N5</f>
        <v>-35.638040377981334</v>
      </c>
      <c r="C213" s="5">
        <f>Relays!O5</f>
        <v>-21.127588078561455</v>
      </c>
      <c r="D213" t="s">
        <v>49</v>
      </c>
      <c r="E213" s="1">
        <f t="shared" si="60"/>
        <v>-33.340000000000003</v>
      </c>
      <c r="F213" s="1">
        <f t="shared" si="61"/>
        <v>0.5</v>
      </c>
      <c r="G213" s="1">
        <f t="shared" si="62"/>
        <v>21.749334603034782</v>
      </c>
      <c r="H213">
        <v>21.75</v>
      </c>
      <c r="I213" s="5">
        <f t="shared" si="55"/>
        <v>-6.6539696521772385E-4</v>
      </c>
    </row>
    <row r="214" spans="1:9" x14ac:dyDescent="0.2">
      <c r="A214" s="6" t="str">
        <f>Relays!K6</f>
        <v>R-S-3-4</v>
      </c>
      <c r="B214" s="5">
        <f>Relays!N6</f>
        <v>-36.030300103031337</v>
      </c>
      <c r="C214" s="5">
        <f>Relays!O6</f>
        <v>-22.821918729272092</v>
      </c>
      <c r="D214" t="s">
        <v>49</v>
      </c>
      <c r="E214" s="1">
        <f t="shared" si="60"/>
        <v>-33.340000000000003</v>
      </c>
      <c r="F214" s="1">
        <f t="shared" si="61"/>
        <v>0.5</v>
      </c>
      <c r="G214" s="1">
        <f t="shared" si="62"/>
        <v>23.476575726863206</v>
      </c>
      <c r="H214">
        <v>23.48</v>
      </c>
      <c r="I214" s="5">
        <f t="shared" si="55"/>
        <v>-3.4242731367939427E-3</v>
      </c>
    </row>
    <row r="215" spans="1:9" x14ac:dyDescent="0.2">
      <c r="A215" s="6" t="str">
        <f>Relays!K7</f>
        <v>R-S-3-5</v>
      </c>
      <c r="B215" s="5">
        <f>Relays!N7</f>
        <v>-36.392784580453586</v>
      </c>
      <c r="C215" s="5">
        <f>Relays!O7</f>
        <v>-24.497798482326925</v>
      </c>
      <c r="D215" t="s">
        <v>49</v>
      </c>
      <c r="E215" s="1">
        <f t="shared" si="60"/>
        <v>-33.340000000000003</v>
      </c>
      <c r="F215" s="1">
        <f t="shared" si="61"/>
        <v>0.5</v>
      </c>
      <c r="G215" s="1">
        <f t="shared" si="62"/>
        <v>25.183514898792055</v>
      </c>
      <c r="H215">
        <v>25.18</v>
      </c>
      <c r="I215" s="5">
        <f t="shared" si="55"/>
        <v>3.5148987920550212E-3</v>
      </c>
    </row>
    <row r="216" spans="1:9" x14ac:dyDescent="0.2">
      <c r="A216" s="6" t="str">
        <f>Relays!K8</f>
        <v>R-S-3-6</v>
      </c>
      <c r="B216" s="5">
        <f>Relays!N8</f>
        <v>-36.728380088366578</v>
      </c>
      <c r="C216" s="5">
        <f>Relays!O8</f>
        <v>-26.1559590931871</v>
      </c>
      <c r="D216" t="s">
        <v>49</v>
      </c>
      <c r="E216" s="1">
        <f t="shared" si="60"/>
        <v>-33.340000000000003</v>
      </c>
      <c r="F216" s="1">
        <f t="shared" si="61"/>
        <v>0.5</v>
      </c>
      <c r="G216" s="1">
        <f t="shared" si="62"/>
        <v>26.870453565224818</v>
      </c>
      <c r="H216">
        <v>26.87</v>
      </c>
      <c r="I216" s="5">
        <f t="shared" si="55"/>
        <v>4.5356522481654338E-4</v>
      </c>
    </row>
    <row r="217" spans="1:9" x14ac:dyDescent="0.2">
      <c r="A217" s="6" t="str">
        <f>Relays!K9</f>
        <v>R-S-3-7</v>
      </c>
      <c r="B217" s="5">
        <f>Relays!N9</f>
        <v>-37.039638900227978</v>
      </c>
      <c r="C217" s="5">
        <f>Relays!O9</f>
        <v>-27.797144640065426</v>
      </c>
      <c r="D217" t="s">
        <v>49</v>
      </c>
      <c r="E217" s="1">
        <f t="shared" si="60"/>
        <v>-33.340000000000003</v>
      </c>
      <c r="F217" s="1">
        <f t="shared" si="61"/>
        <v>0.5</v>
      </c>
      <c r="G217" s="1">
        <f t="shared" si="62"/>
        <v>28.53796984322577</v>
      </c>
      <c r="H217">
        <v>28.54</v>
      </c>
      <c r="I217" s="5">
        <f t="shared" si="55"/>
        <v>-2.0301567742286863E-3</v>
      </c>
    </row>
    <row r="218" spans="1:9" x14ac:dyDescent="0.2">
      <c r="A218" s="6" t="str">
        <f>Relays!K10</f>
        <v>R-S-3-8</v>
      </c>
      <c r="B218" s="5">
        <f>Relays!N10</f>
        <v>-37.32882342666214</v>
      </c>
      <c r="C218" s="5">
        <f>Relays!O10</f>
        <v>-29.422097844665654</v>
      </c>
      <c r="D218" t="s">
        <v>49</v>
      </c>
      <c r="E218" s="1">
        <f t="shared" si="60"/>
        <v>-33.340000000000003</v>
      </c>
      <c r="F218" s="1">
        <f t="shared" si="61"/>
        <v>0.5</v>
      </c>
      <c r="G218" s="1">
        <f t="shared" si="62"/>
        <v>30.186795983589143</v>
      </c>
      <c r="H218">
        <v>30.19</v>
      </c>
      <c r="I218" s="5">
        <f t="shared" si="55"/>
        <v>-3.2040164108586566E-3</v>
      </c>
    </row>
    <row r="220" spans="1:9" x14ac:dyDescent="0.2">
      <c r="A220" s="6" t="str">
        <f>Hurdles!A59</f>
        <v>H-8-1</v>
      </c>
      <c r="B220" s="5">
        <f>Hurdles!F59</f>
        <v>-29.163003299198994</v>
      </c>
      <c r="C220" s="5">
        <f>Hurdles!G59</f>
        <v>-25.879322606492405</v>
      </c>
      <c r="D220" t="s">
        <v>52</v>
      </c>
      <c r="E220" s="4">
        <v>8.24</v>
      </c>
      <c r="F220" s="4">
        <v>-34.96</v>
      </c>
      <c r="G220" s="1">
        <f t="shared" ref="G220" si="63">SQRT((E220-B220)^2+(F220-C220)^2)</f>
        <v>38.489522700662981</v>
      </c>
      <c r="H220">
        <v>38.5</v>
      </c>
      <c r="I220" s="5">
        <f t="shared" ref="I220:I243" si="64">G220-H220</f>
        <v>-1.0477299337019019E-2</v>
      </c>
    </row>
    <row r="221" spans="1:9" x14ac:dyDescent="0.2">
      <c r="A221" s="6" t="str">
        <f>Hurdles!A60</f>
        <v>H-8-2</v>
      </c>
      <c r="B221" s="5">
        <f>Hurdles!F60</f>
        <v>-29.38495031138708</v>
      </c>
      <c r="C221" s="5">
        <f>Hurdles!G60</f>
        <v>-27.447564467495329</v>
      </c>
      <c r="D221" t="s">
        <v>52</v>
      </c>
      <c r="E221" s="1">
        <f>E220</f>
        <v>8.24</v>
      </c>
      <c r="F221" s="1">
        <f>F220</f>
        <v>-34.96</v>
      </c>
      <c r="G221" s="1">
        <f t="shared" ref="G221" si="65">SQRT((E221-B221)^2+(F221-C221)^2)</f>
        <v>38.367610996312834</v>
      </c>
      <c r="H221">
        <v>38.380000000000003</v>
      </c>
      <c r="I221" s="5">
        <f t="shared" si="64"/>
        <v>-1.2389003687168554E-2</v>
      </c>
    </row>
    <row r="222" spans="1:9" x14ac:dyDescent="0.2">
      <c r="A222" s="6" t="str">
        <f>Hurdles!A61</f>
        <v>H-8-3</v>
      </c>
      <c r="B222" s="5">
        <f>Hurdles!F61</f>
        <v>-29.588683385662058</v>
      </c>
      <c r="C222" s="5">
        <f>Hurdles!G61</f>
        <v>-28.999219222300557</v>
      </c>
      <c r="D222" t="s">
        <v>52</v>
      </c>
      <c r="E222" s="1">
        <f t="shared" ref="E222:E228" si="66">E221</f>
        <v>8.24</v>
      </c>
      <c r="F222" s="1">
        <f t="shared" ref="F222:F228" si="67">F221</f>
        <v>-34.96</v>
      </c>
      <c r="G222" s="1">
        <f t="shared" ref="G222:G228" si="68">SQRT((E222-B222)^2+(F222-C222)^2)</f>
        <v>38.295433072005544</v>
      </c>
      <c r="H222">
        <v>38.299999999999997</v>
      </c>
      <c r="I222" s="5">
        <f t="shared" si="64"/>
        <v>-4.5669279944533514E-3</v>
      </c>
    </row>
    <row r="223" spans="1:9" x14ac:dyDescent="0.2">
      <c r="A223" s="6" t="str">
        <f>Hurdles!A62</f>
        <v>H-8-4</v>
      </c>
      <c r="B223" s="5">
        <f>Hurdles!F62</f>
        <v>-29.776125558281276</v>
      </c>
      <c r="C223" s="5">
        <f>Hurdles!G62</f>
        <v>-30.535304922948917</v>
      </c>
      <c r="D223" t="s">
        <v>52</v>
      </c>
      <c r="E223" s="1">
        <f t="shared" si="66"/>
        <v>8.24</v>
      </c>
      <c r="F223" s="1">
        <f t="shared" si="67"/>
        <v>-34.96</v>
      </c>
      <c r="G223" s="1">
        <f t="shared" si="68"/>
        <v>38.272754395103142</v>
      </c>
      <c r="H223">
        <v>38.28</v>
      </c>
      <c r="I223" s="5">
        <f t="shared" si="64"/>
        <v>-7.2456048968589926E-3</v>
      </c>
    </row>
    <row r="224" spans="1:9" x14ac:dyDescent="0.2">
      <c r="A224" s="6" t="str">
        <f>Hurdles!A63</f>
        <v>H-8-5</v>
      </c>
      <c r="B224" s="5">
        <f>Hurdles!F63</f>
        <v>-29.948955401614509</v>
      </c>
      <c r="C224" s="5">
        <f>Hurdles!G63</f>
        <v>-32.056777292050192</v>
      </c>
      <c r="D224" t="s">
        <v>52</v>
      </c>
      <c r="E224" s="1">
        <f t="shared" si="66"/>
        <v>8.24</v>
      </c>
      <c r="F224" s="1">
        <f t="shared" si="67"/>
        <v>-34.96</v>
      </c>
      <c r="G224" s="1">
        <f t="shared" si="68"/>
        <v>38.299151645414518</v>
      </c>
      <c r="H224">
        <v>38.299999999999997</v>
      </c>
      <c r="I224" s="5">
        <f t="shared" si="64"/>
        <v>-8.4835458547871667E-4</v>
      </c>
    </row>
    <row r="225" spans="1:16" x14ac:dyDescent="0.2">
      <c r="A225" s="6" t="str">
        <f>Hurdles!A64</f>
        <v>H-8-6</v>
      </c>
      <c r="B225" s="5">
        <f>Hurdles!F64</f>
        <v>-30.108642917705101</v>
      </c>
      <c r="C225" s="5">
        <f>Hurdles!G64</f>
        <v>-33.564530708087162</v>
      </c>
      <c r="D225" t="s">
        <v>52</v>
      </c>
      <c r="E225" s="1">
        <f t="shared" si="66"/>
        <v>8.24</v>
      </c>
      <c r="F225" s="1">
        <f t="shared" si="67"/>
        <v>-34.96</v>
      </c>
      <c r="G225" s="1">
        <f t="shared" si="68"/>
        <v>38.374024393778733</v>
      </c>
      <c r="H225">
        <v>38.380000000000003</v>
      </c>
      <c r="I225" s="5">
        <f t="shared" si="64"/>
        <v>-5.9756062212699135E-3</v>
      </c>
    </row>
    <row r="226" spans="1:16" x14ac:dyDescent="0.2">
      <c r="A226" s="6" t="str">
        <f>Hurdles!A65</f>
        <v>H-8-7</v>
      </c>
      <c r="B226" s="5">
        <f>Hurdles!F65</f>
        <v>-30.256479519418686</v>
      </c>
      <c r="C226" s="5">
        <f>Hurdles!G65</f>
        <v>-35.059400267132311</v>
      </c>
      <c r="D226" t="s">
        <v>52</v>
      </c>
      <c r="E226" s="1">
        <f t="shared" si="66"/>
        <v>8.24</v>
      </c>
      <c r="F226" s="1">
        <f t="shared" si="67"/>
        <v>-34.96</v>
      </c>
      <c r="G226" s="1">
        <f t="shared" si="68"/>
        <v>38.496607847992635</v>
      </c>
      <c r="H226">
        <v>38.5</v>
      </c>
      <c r="I226" s="5">
        <f t="shared" si="64"/>
        <v>-3.3921520073647571E-3</v>
      </c>
    </row>
    <row r="227" spans="1:16" x14ac:dyDescent="0.2">
      <c r="A227" s="6" t="str">
        <f>Hurdles!A66</f>
        <v>H-8-8</v>
      </c>
      <c r="B227" s="5">
        <f>Hurdles!F66</f>
        <v>-30.393603167924773</v>
      </c>
      <c r="C227" s="5">
        <f>Hurdles!G66</f>
        <v>-36.542164501719277</v>
      </c>
      <c r="D227" t="s">
        <v>52</v>
      </c>
      <c r="E227" s="1">
        <f t="shared" si="66"/>
        <v>8.24</v>
      </c>
      <c r="F227" s="1">
        <f t="shared" si="67"/>
        <v>-34.96</v>
      </c>
      <c r="G227" s="1">
        <f t="shared" si="68"/>
        <v>38.665986839174138</v>
      </c>
      <c r="H227">
        <v>38.67</v>
      </c>
      <c r="I227" s="5">
        <f t="shared" si="64"/>
        <v>-4.0131608258633378E-3</v>
      </c>
    </row>
    <row r="228" spans="1:16" x14ac:dyDescent="0.2">
      <c r="A228" s="6" t="str">
        <f>Relays!K11</f>
        <v>R-M-3-1</v>
      </c>
      <c r="B228" s="5">
        <f>Relays!N11</f>
        <v>-21.686239608110263</v>
      </c>
      <c r="C228" s="5">
        <f>Relays!O11</f>
        <v>-32.402578781011087</v>
      </c>
      <c r="D228" t="s">
        <v>52</v>
      </c>
      <c r="E228" s="1">
        <f t="shared" si="66"/>
        <v>8.24</v>
      </c>
      <c r="F228" s="1">
        <f t="shared" si="67"/>
        <v>-34.96</v>
      </c>
      <c r="G228" s="1">
        <f t="shared" si="68"/>
        <v>30.035316218967338</v>
      </c>
      <c r="H228">
        <v>30.04</v>
      </c>
      <c r="I228" s="5">
        <f t="shared" si="64"/>
        <v>-4.683781032660761E-3</v>
      </c>
    </row>
    <row r="229" spans="1:16" x14ac:dyDescent="0.2">
      <c r="A229" s="6" t="str">
        <f>Relays!K12</f>
        <v>R-M-3-2</v>
      </c>
      <c r="B229" s="5">
        <f>Relays!N12</f>
        <v>-21.766256913179433</v>
      </c>
      <c r="C229" s="5">
        <f>Relays!O12</f>
        <v>-33.809379763454238</v>
      </c>
      <c r="D229" t="s">
        <v>52</v>
      </c>
      <c r="E229" s="1">
        <f t="shared" ref="E229:E235" si="69">E228</f>
        <v>8.24</v>
      </c>
      <c r="F229" s="1">
        <f t="shared" ref="F229:F235" si="70">F228</f>
        <v>-34.96</v>
      </c>
      <c r="G229" s="1">
        <f t="shared" ref="G229:G243" si="71">SQRT((E229-B229)^2+(F229-C229)^2)</f>
        <v>30.028309657196445</v>
      </c>
      <c r="H229">
        <v>30.03</v>
      </c>
      <c r="I229" s="5">
        <f t="shared" si="64"/>
        <v>-1.6903428035561774E-3</v>
      </c>
    </row>
    <row r="230" spans="1:16" x14ac:dyDescent="0.2">
      <c r="A230" s="6" t="str">
        <f>Relays!K13</f>
        <v>R-M-3-3</v>
      </c>
      <c r="B230" s="5">
        <f>Relays!N13</f>
        <v>-21.839598422272562</v>
      </c>
      <c r="C230" s="5">
        <f>Relays!O13</f>
        <v>-35.20620457751545</v>
      </c>
      <c r="D230" t="s">
        <v>52</v>
      </c>
      <c r="E230" s="1">
        <f t="shared" si="69"/>
        <v>8.24</v>
      </c>
      <c r="F230" s="1">
        <f t="shared" si="70"/>
        <v>-34.96</v>
      </c>
      <c r="G230" s="1">
        <f t="shared" si="71"/>
        <v>30.080606010171596</v>
      </c>
      <c r="H230">
        <v>30.09</v>
      </c>
      <c r="I230" s="5">
        <f t="shared" si="64"/>
        <v>-9.3939898284034484E-3</v>
      </c>
    </row>
    <row r="231" spans="1:16" x14ac:dyDescent="0.2">
      <c r="A231" s="6" t="str">
        <f>Relays!K14</f>
        <v>R-M-3-4</v>
      </c>
      <c r="B231" s="5">
        <f>Relays!N14</f>
        <v>-21.906987551445685</v>
      </c>
      <c r="C231" s="5">
        <f>Relays!O14</f>
        <v>-36.59380270511393</v>
      </c>
      <c r="D231" t="s">
        <v>52</v>
      </c>
      <c r="E231" s="1">
        <f t="shared" si="69"/>
        <v>8.24</v>
      </c>
      <c r="F231" s="1">
        <f t="shared" si="70"/>
        <v>-34.96</v>
      </c>
      <c r="G231" s="1">
        <f t="shared" si="71"/>
        <v>30.191226700918573</v>
      </c>
      <c r="H231">
        <v>30.19</v>
      </c>
      <c r="I231" s="5">
        <f t="shared" si="64"/>
        <v>1.2267009185720212E-3</v>
      </c>
    </row>
    <row r="232" spans="1:16" x14ac:dyDescent="0.2">
      <c r="A232" s="6" t="str">
        <f>Relays!K15</f>
        <v>R-M-3-5</v>
      </c>
      <c r="B232" s="5">
        <f>Relays!N15</f>
        <v>-21.969052566202699</v>
      </c>
      <c r="C232" s="5">
        <f>Relays!O15</f>
        <v>-37.972853847761066</v>
      </c>
      <c r="D232" t="s">
        <v>52</v>
      </c>
      <c r="E232" s="1">
        <f t="shared" si="69"/>
        <v>8.24</v>
      </c>
      <c r="F232" s="1">
        <f t="shared" si="70"/>
        <v>-34.96</v>
      </c>
      <c r="G232" s="1">
        <f t="shared" si="71"/>
        <v>30.358922004174762</v>
      </c>
      <c r="H232">
        <v>30.36</v>
      </c>
      <c r="I232" s="5">
        <f t="shared" si="64"/>
        <v>-1.0779958252378208E-3</v>
      </c>
    </row>
    <row r="233" spans="1:16" x14ac:dyDescent="0.2">
      <c r="A233" s="6" t="str">
        <f>Relays!K16</f>
        <v>R-M-3-6</v>
      </c>
      <c r="B233" s="5">
        <f>Relays!N16</f>
        <v>-22.02634115564533</v>
      </c>
      <c r="C233" s="5">
        <f>Relays!O16</f>
        <v>-39.343975336703387</v>
      </c>
      <c r="D233" t="s">
        <v>52</v>
      </c>
      <c r="E233" s="1">
        <f t="shared" si="69"/>
        <v>8.24</v>
      </c>
      <c r="F233" s="1">
        <f t="shared" si="70"/>
        <v>-34.96</v>
      </c>
      <c r="G233" s="1">
        <f t="shared" si="71"/>
        <v>30.582194929447652</v>
      </c>
      <c r="H233">
        <v>30.58</v>
      </c>
      <c r="I233" s="5">
        <f t="shared" si="64"/>
        <v>2.1949294476542036E-3</v>
      </c>
    </row>
    <row r="234" spans="1:16" x14ac:dyDescent="0.2">
      <c r="A234" s="6" t="str">
        <f>Relays!K17</f>
        <v>R-M-3-7</v>
      </c>
      <c r="B234" s="5">
        <f>Relays!N17</f>
        <v>-22.079332479027823</v>
      </c>
      <c r="C234" s="5">
        <f>Relays!O17</f>
        <v>-40.707728716799551</v>
      </c>
      <c r="D234" t="s">
        <v>52</v>
      </c>
      <c r="E234" s="1">
        <f t="shared" si="69"/>
        <v>8.24</v>
      </c>
      <c r="F234" s="1">
        <f t="shared" si="70"/>
        <v>-34.96</v>
      </c>
      <c r="G234" s="1">
        <f t="shared" si="71"/>
        <v>30.859330961246609</v>
      </c>
      <c r="H234">
        <v>30.86</v>
      </c>
      <c r="I234" s="5">
        <f t="shared" si="64"/>
        <v>-6.6903875339008323E-4</v>
      </c>
    </row>
    <row r="235" spans="1:16" x14ac:dyDescent="0.2">
      <c r="A235" s="6" t="str">
        <f>Relays!K18</f>
        <v>R-M-3-8</v>
      </c>
      <c r="B235" s="5">
        <f>Relays!N18</f>
        <v>-22.128447171071219</v>
      </c>
      <c r="C235" s="5">
        <f>Relays!O18</f>
        <v>-42.064625587268807</v>
      </c>
      <c r="D235" t="s">
        <v>52</v>
      </c>
      <c r="E235" s="1">
        <f t="shared" si="69"/>
        <v>8.24</v>
      </c>
      <c r="F235" s="1">
        <f t="shared" si="70"/>
        <v>-34.96</v>
      </c>
      <c r="G235" s="1">
        <f t="shared" si="71"/>
        <v>31.18843196310802</v>
      </c>
      <c r="H235">
        <v>31.19</v>
      </c>
      <c r="I235" s="5">
        <f t="shared" si="64"/>
        <v>-1.5680368919817056E-3</v>
      </c>
    </row>
    <row r="236" spans="1:16" x14ac:dyDescent="0.2">
      <c r="A236" s="6" t="str">
        <f>Relays!K19</f>
        <v>R-E-3-1</v>
      </c>
      <c r="B236" s="5">
        <f>Relays!N19</f>
        <v>-12.805421452194713</v>
      </c>
      <c r="C236" s="5">
        <f>Relays!O19</f>
        <v>-36.827181285453705</v>
      </c>
      <c r="D236" t="s">
        <v>52</v>
      </c>
      <c r="E236" s="1">
        <f>E235</f>
        <v>8.24</v>
      </c>
      <c r="F236" s="1">
        <f>F235</f>
        <v>-34.96</v>
      </c>
      <c r="G236" s="1">
        <f t="shared" si="71"/>
        <v>21.128088651206617</v>
      </c>
      <c r="H236">
        <v>21.13</v>
      </c>
      <c r="I236" s="5">
        <f t="shared" si="64"/>
        <v>-1.9113487933815065E-3</v>
      </c>
      <c r="P236" s="1"/>
    </row>
    <row r="237" spans="1:16" x14ac:dyDescent="0.2">
      <c r="A237" s="6" t="str">
        <f>Relays!K20</f>
        <v>R-E-3-2</v>
      </c>
      <c r="B237" s="5">
        <f>Relays!N20</f>
        <v>-12.821731976860448</v>
      </c>
      <c r="C237" s="5">
        <f>Relays!O20</f>
        <v>-38.110986462089308</v>
      </c>
      <c r="D237" t="s">
        <v>52</v>
      </c>
      <c r="E237" s="1">
        <f t="shared" ref="E237:E243" si="72">E236</f>
        <v>8.24</v>
      </c>
      <c r="F237" s="1">
        <f t="shared" ref="F237:F243" si="73">F236</f>
        <v>-34.96</v>
      </c>
      <c r="G237" s="1">
        <f t="shared" si="71"/>
        <v>21.296132736940198</v>
      </c>
      <c r="H237">
        <v>21.3</v>
      </c>
      <c r="I237" s="5">
        <f t="shared" si="64"/>
        <v>-3.8672630598028945E-3</v>
      </c>
    </row>
    <row r="238" spans="1:16" x14ac:dyDescent="0.2">
      <c r="A238" s="6" t="str">
        <f>Relays!K21</f>
        <v>R-E-3-3</v>
      </c>
      <c r="B238" s="5">
        <f>Relays!N21</f>
        <v>-12.836697553165397</v>
      </c>
      <c r="C238" s="5">
        <f>Relays!O21</f>
        <v>-39.391167740098254</v>
      </c>
      <c r="D238" t="s">
        <v>52</v>
      </c>
      <c r="E238" s="1">
        <f t="shared" si="72"/>
        <v>8.24</v>
      </c>
      <c r="F238" s="1">
        <f t="shared" si="73"/>
        <v>-34.96</v>
      </c>
      <c r="G238" s="1">
        <f t="shared" si="71"/>
        <v>21.537465665404916</v>
      </c>
      <c r="H238">
        <v>21.54</v>
      </c>
      <c r="I238" s="5">
        <f t="shared" si="64"/>
        <v>-2.5343345950830098E-3</v>
      </c>
    </row>
    <row r="239" spans="1:16" x14ac:dyDescent="0.2">
      <c r="A239" s="6" t="str">
        <f>Relays!K22</f>
        <v>R-E-3-4</v>
      </c>
      <c r="B239" s="5">
        <f>Relays!N22</f>
        <v>-12.850464531180926</v>
      </c>
      <c r="C239" s="5">
        <f>Relays!O22</f>
        <v>-40.668022589411216</v>
      </c>
      <c r="D239" t="s">
        <v>52</v>
      </c>
      <c r="E239" s="1">
        <f t="shared" si="72"/>
        <v>8.24</v>
      </c>
      <c r="F239" s="1">
        <f t="shared" si="73"/>
        <v>-34.96</v>
      </c>
      <c r="G239" s="1">
        <f t="shared" si="71"/>
        <v>21.849238339636223</v>
      </c>
      <c r="H239">
        <v>21.85</v>
      </c>
      <c r="I239" s="5">
        <f t="shared" si="64"/>
        <v>-7.6166036377856017E-4</v>
      </c>
    </row>
    <row r="240" spans="1:16" x14ac:dyDescent="0.2">
      <c r="A240" s="6" t="str">
        <f>Relays!K23</f>
        <v>R-E-3-5</v>
      </c>
      <c r="B240" s="5">
        <f>Relays!N23</f>
        <v>-12.863159766081568</v>
      </c>
      <c r="C240" s="5">
        <f>Relays!O23</f>
        <v>-41.941817090253259</v>
      </c>
      <c r="D240" t="s">
        <v>52</v>
      </c>
      <c r="E240" s="1">
        <f t="shared" si="72"/>
        <v>8.24</v>
      </c>
      <c r="F240" s="1">
        <f t="shared" si="73"/>
        <v>-34.96</v>
      </c>
      <c r="G240" s="1">
        <f t="shared" si="71"/>
        <v>22.228115574526697</v>
      </c>
      <c r="H240">
        <v>22.23</v>
      </c>
      <c r="I240" s="5">
        <f t="shared" si="64"/>
        <v>-1.8844254733032528E-3</v>
      </c>
    </row>
    <row r="241" spans="1:9" x14ac:dyDescent="0.2">
      <c r="A241" s="6" t="str">
        <f>Relays!K24</f>
        <v>R-E-3-6</v>
      </c>
      <c r="B241" s="5">
        <f>Relays!N24</f>
        <v>-12.874893660407366</v>
      </c>
      <c r="C241" s="5">
        <f>Relays!O24</f>
        <v>-43.212789926515995</v>
      </c>
      <c r="D241" t="s">
        <v>52</v>
      </c>
      <c r="E241" s="1">
        <f t="shared" si="72"/>
        <v>8.24</v>
      </c>
      <c r="F241" s="1">
        <f t="shared" si="73"/>
        <v>-34.96</v>
      </c>
      <c r="G241" s="1">
        <f t="shared" si="71"/>
        <v>22.67040528666206</v>
      </c>
      <c r="H241">
        <v>22.67</v>
      </c>
      <c r="I241" s="5">
        <f t="shared" si="64"/>
        <v>4.0528666205830177E-4</v>
      </c>
    </row>
    <row r="242" spans="1:9" x14ac:dyDescent="0.2">
      <c r="A242" s="6" t="str">
        <f>Relays!K25</f>
        <v>R-E-3-7</v>
      </c>
      <c r="B242" s="5">
        <f>Relays!N25</f>
        <v>-12.885762666111875</v>
      </c>
      <c r="C242" s="5">
        <f>Relays!O25</f>
        <v>-44.481155791105934</v>
      </c>
      <c r="D242" t="s">
        <v>52</v>
      </c>
      <c r="E242" s="1">
        <f t="shared" si="72"/>
        <v>8.24</v>
      </c>
      <c r="F242" s="1">
        <f t="shared" si="73"/>
        <v>-34.96</v>
      </c>
      <c r="G242" s="1">
        <f t="shared" si="71"/>
        <v>23.172187117822872</v>
      </c>
      <c r="H242">
        <v>23.17</v>
      </c>
      <c r="I242" s="5">
        <f t="shared" si="64"/>
        <v>2.1871178228707322E-3</v>
      </c>
    </row>
    <row r="243" spans="1:9" x14ac:dyDescent="0.2">
      <c r="A243" s="6" t="str">
        <f>Relays!K26</f>
        <v>R-E-3-8</v>
      </c>
      <c r="B243" s="5">
        <f>Relays!N26</f>
        <v>-12.895851353303028</v>
      </c>
      <c r="C243" s="5">
        <f>Relays!O26</f>
        <v>-45.747108300673084</v>
      </c>
      <c r="D243" t="s">
        <v>52</v>
      </c>
      <c r="E243" s="1">
        <f t="shared" si="72"/>
        <v>8.24</v>
      </c>
      <c r="F243" s="1">
        <f t="shared" si="73"/>
        <v>-34.96</v>
      </c>
      <c r="G243" s="1">
        <f t="shared" si="71"/>
        <v>23.729431470630971</v>
      </c>
      <c r="H243">
        <v>23.73</v>
      </c>
      <c r="I243" s="5">
        <f t="shared" si="64"/>
        <v>-5.6852936902984652E-4</v>
      </c>
    </row>
    <row r="246" spans="1:9" x14ac:dyDescent="0.2">
      <c r="A246" t="str">
        <f>Landmarks!A5</f>
        <v>A</v>
      </c>
      <c r="B246">
        <f>Landmarks!B5</f>
        <v>0</v>
      </c>
      <c r="C246">
        <f>Landmarks!C5</f>
        <v>38.99</v>
      </c>
      <c r="D246" t="str">
        <f>Relays!F19</f>
        <v>R-E-2-1</v>
      </c>
      <c r="E246" s="1">
        <f>Relays!I19</f>
        <v>-9.8413541938670139</v>
      </c>
      <c r="F246" s="1">
        <f>Relays!J19</f>
        <v>37.727547596297008</v>
      </c>
      <c r="G246" s="1">
        <f t="shared" ref="G246:G253" si="74">SQRT((E246-B246)^2+(F246-C246)^2)</f>
        <v>9.9219977041299163</v>
      </c>
    </row>
    <row r="247" spans="1:9" x14ac:dyDescent="0.2">
      <c r="A247" t="str">
        <f>Landmarks!A5</f>
        <v>A</v>
      </c>
      <c r="B247">
        <f>Landmarks!B5</f>
        <v>0</v>
      </c>
      <c r="C247">
        <f>Landmarks!C5</f>
        <v>38.99</v>
      </c>
      <c r="D247" t="str">
        <f>Relays!F20</f>
        <v>R-E-2-2</v>
      </c>
      <c r="E247" s="1">
        <f>Relays!I20</f>
        <v>-13.497044173269423</v>
      </c>
      <c r="F247" s="1">
        <f>Relays!J20</f>
        <v>37.877089362632049</v>
      </c>
      <c r="G247" s="1">
        <f t="shared" si="74"/>
        <v>13.542849460211571</v>
      </c>
    </row>
    <row r="248" spans="1:9" x14ac:dyDescent="0.2">
      <c r="A248" t="str">
        <f>Landmarks!A5</f>
        <v>A</v>
      </c>
      <c r="B248">
        <f>Landmarks!B5</f>
        <v>0</v>
      </c>
      <c r="C248">
        <f>Landmarks!C5</f>
        <v>38.99</v>
      </c>
      <c r="D248" t="str">
        <f>Relays!F21</f>
        <v>R-E-2-3</v>
      </c>
      <c r="E248" s="1">
        <f>Relays!I21</f>
        <v>-17.057727163863781</v>
      </c>
      <c r="F248" s="1">
        <f>Relays!J21</f>
        <v>37.755514087391042</v>
      </c>
      <c r="G248" s="1">
        <f t="shared" si="74"/>
        <v>17.102339356510448</v>
      </c>
    </row>
    <row r="249" spans="1:9" x14ac:dyDescent="0.2">
      <c r="A249" t="str">
        <f>Landmarks!A5</f>
        <v>A</v>
      </c>
      <c r="B249">
        <f>Landmarks!B5</f>
        <v>0</v>
      </c>
      <c r="C249">
        <f>Landmarks!C5</f>
        <v>38.99</v>
      </c>
      <c r="D249" t="str">
        <f>Relays!F22</f>
        <v>R-E-2-4</v>
      </c>
      <c r="E249" s="1">
        <f>Relays!I22</f>
        <v>-20.511433971699137</v>
      </c>
      <c r="F249" s="1">
        <f>Relays!J22</f>
        <v>37.393897582688894</v>
      </c>
      <c r="G249" s="1">
        <f t="shared" si="74"/>
        <v>20.573440803665289</v>
      </c>
    </row>
    <row r="250" spans="1:9" x14ac:dyDescent="0.2">
      <c r="A250" t="str">
        <f>Landmarks!A5</f>
        <v>A</v>
      </c>
      <c r="B250">
        <f>Landmarks!B5</f>
        <v>0</v>
      </c>
      <c r="C250">
        <f>Landmarks!C5</f>
        <v>38.99</v>
      </c>
      <c r="D250" t="str">
        <f>Relays!F23</f>
        <v>R-E-2-5</v>
      </c>
      <c r="E250" s="1">
        <f>Relays!I23</f>
        <v>-23.85028117218069</v>
      </c>
      <c r="F250" s="1">
        <f>Relays!J23</f>
        <v>36.820388210988803</v>
      </c>
      <c r="G250" s="1">
        <f t="shared" si="74"/>
        <v>23.948760454501461</v>
      </c>
    </row>
    <row r="251" spans="1:9" x14ac:dyDescent="0.2">
      <c r="A251" t="str">
        <f>Landmarks!A5</f>
        <v>A</v>
      </c>
      <c r="B251">
        <f>Landmarks!B5</f>
        <v>0</v>
      </c>
      <c r="C251">
        <f>Landmarks!C5</f>
        <v>38.99</v>
      </c>
      <c r="D251" t="str">
        <f>Relays!F24</f>
        <v>R-E-2-6</v>
      </c>
      <c r="E251" s="1">
        <f>Relays!I24</f>
        <v>-27.069568388811131</v>
      </c>
      <c r="F251" s="1">
        <f>Relays!J24</f>
        <v>36.060318457321983</v>
      </c>
      <c r="G251" s="1">
        <f t="shared" si="74"/>
        <v>27.227643429023217</v>
      </c>
    </row>
    <row r="252" spans="1:9" x14ac:dyDescent="0.2">
      <c r="A252" t="str">
        <f>Landmarks!A5</f>
        <v>A</v>
      </c>
      <c r="B252">
        <f>Landmarks!B5</f>
        <v>0</v>
      </c>
      <c r="C252">
        <f>Landmarks!C5</f>
        <v>38.99</v>
      </c>
      <c r="D252" t="str">
        <f>Relays!F25</f>
        <v>R-E-2-7</v>
      </c>
      <c r="E252" s="1">
        <f>Relays!I25</f>
        <v>-30.167055223882393</v>
      </c>
      <c r="F252" s="1">
        <f>Relays!J25</f>
        <v>35.136375440833817</v>
      </c>
      <c r="G252" s="1">
        <f t="shared" si="74"/>
        <v>30.412195631420278</v>
      </c>
    </row>
    <row r="253" spans="1:9" x14ac:dyDescent="0.2">
      <c r="A253" t="str">
        <f>Landmarks!A5</f>
        <v>A</v>
      </c>
      <c r="B253">
        <f>Landmarks!B5</f>
        <v>0</v>
      </c>
      <c r="C253">
        <f>Landmarks!C5</f>
        <v>38.99</v>
      </c>
      <c r="D253" t="str">
        <f>Relays!F26</f>
        <v>R-E-2-8</v>
      </c>
      <c r="E253" s="1">
        <f>Relays!I26</f>
        <v>-33.142384580201252</v>
      </c>
      <c r="F253" s="1">
        <f>Relays!J26</f>
        <v>34.068801627560042</v>
      </c>
      <c r="G253" s="1">
        <f t="shared" si="74"/>
        <v>33.50575844661433</v>
      </c>
    </row>
    <row r="265" spans="10:10" x14ac:dyDescent="0.2">
      <c r="J265" s="1"/>
    </row>
  </sheetData>
  <mergeCells count="5">
    <mergeCell ref="A3:I3"/>
    <mergeCell ref="A55:I55"/>
    <mergeCell ref="A113:I113"/>
    <mergeCell ref="A118:I118"/>
    <mergeCell ref="A147:I1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83160-AADE-6745-AAB8-FE0461167D5A}">
  <dimension ref="A1:L39"/>
  <sheetViews>
    <sheetView topLeftCell="A5" workbookViewId="0">
      <selection activeCell="C29" sqref="C29:C37"/>
    </sheetView>
  </sheetViews>
  <sheetFormatPr baseColWidth="10" defaultRowHeight="16" x14ac:dyDescent="0.2"/>
  <cols>
    <col min="2" max="2" width="13.1640625" customWidth="1"/>
    <col min="3" max="3" width="21.33203125" customWidth="1"/>
    <col min="8" max="8" width="19.5" customWidth="1"/>
    <col min="9" max="9" width="19.83203125" customWidth="1"/>
    <col min="10" max="10" width="16.33203125" customWidth="1"/>
  </cols>
  <sheetData>
    <row r="1" spans="1:12" x14ac:dyDescent="0.2">
      <c r="A1" t="s">
        <v>14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35</v>
      </c>
    </row>
    <row r="2" spans="1:12" x14ac:dyDescent="0.2">
      <c r="A2">
        <v>1</v>
      </c>
      <c r="B2" s="2">
        <v>38.99</v>
      </c>
      <c r="C2">
        <f>B2+0.2</f>
        <v>39.190000000000005</v>
      </c>
      <c r="D2">
        <f t="shared" ref="D2:D10" si="0">Straight</f>
        <v>76.89</v>
      </c>
      <c r="E2">
        <f>PI()*C2</f>
        <v>123.119016094184</v>
      </c>
      <c r="F2">
        <f t="shared" ref="F2:F10" si="1">Straight</f>
        <v>76.89</v>
      </c>
      <c r="G2">
        <f>PI()*C2</f>
        <v>123.119016094184</v>
      </c>
      <c r="H2">
        <f>D2+E2</f>
        <v>200.00901609418401</v>
      </c>
      <c r="I2">
        <f>D2+E2+F2</f>
        <v>276.89901609418399</v>
      </c>
      <c r="J2">
        <f>D2+E2+F2+G2</f>
        <v>400.01803218836801</v>
      </c>
      <c r="K2">
        <f>E2-E$2</f>
        <v>0</v>
      </c>
      <c r="L2">
        <f>J2-K2</f>
        <v>400.01803218836801</v>
      </c>
    </row>
    <row r="3" spans="1:12" x14ac:dyDescent="0.2">
      <c r="A3">
        <v>2</v>
      </c>
      <c r="B3">
        <f>B2+1.22</f>
        <v>40.21</v>
      </c>
      <c r="C3">
        <f t="shared" ref="C3:C10" si="2">B3+0.2</f>
        <v>40.410000000000004</v>
      </c>
      <c r="D3">
        <f t="shared" si="0"/>
        <v>76.89</v>
      </c>
      <c r="E3">
        <f t="shared" ref="E3:E9" si="3">PI()*C3</f>
        <v>126.95175913156355</v>
      </c>
      <c r="F3">
        <f t="shared" si="1"/>
        <v>76.89</v>
      </c>
      <c r="G3">
        <f t="shared" ref="G3:G9" si="4">PI()*C3</f>
        <v>126.95175913156355</v>
      </c>
      <c r="H3">
        <f t="shared" ref="H3:H9" si="5">D3+E3</f>
        <v>203.84175913156355</v>
      </c>
      <c r="I3">
        <f t="shared" ref="I3:I8" si="6">D3+E3+F3</f>
        <v>280.73175913156354</v>
      </c>
      <c r="J3">
        <f t="shared" ref="J3:J9" si="7">D3+E3+F3+G3</f>
        <v>407.6835182631271</v>
      </c>
      <c r="K3">
        <f t="shared" ref="K3:K10" si="8">E3-E$2</f>
        <v>3.8327430373795437</v>
      </c>
      <c r="L3">
        <f t="shared" ref="L3:L10" si="9">J3-K3</f>
        <v>403.85077522574755</v>
      </c>
    </row>
    <row r="4" spans="1:12" x14ac:dyDescent="0.2">
      <c r="A4">
        <v>3</v>
      </c>
      <c r="B4">
        <f t="shared" ref="B4:B10" si="10">B3+1.22</f>
        <v>41.43</v>
      </c>
      <c r="C4">
        <f t="shared" si="2"/>
        <v>41.63</v>
      </c>
      <c r="D4">
        <f t="shared" si="0"/>
        <v>76.89</v>
      </c>
      <c r="E4">
        <f t="shared" si="3"/>
        <v>130.78450216894311</v>
      </c>
      <c r="F4">
        <f t="shared" si="1"/>
        <v>76.89</v>
      </c>
      <c r="G4">
        <f t="shared" si="4"/>
        <v>130.78450216894311</v>
      </c>
      <c r="H4">
        <f t="shared" si="5"/>
        <v>207.67450216894309</v>
      </c>
      <c r="I4">
        <f t="shared" si="6"/>
        <v>284.56450216894308</v>
      </c>
      <c r="J4">
        <f t="shared" si="7"/>
        <v>415.34900433788619</v>
      </c>
      <c r="K4">
        <f t="shared" si="8"/>
        <v>7.6654860747591016</v>
      </c>
      <c r="L4">
        <f t="shared" si="9"/>
        <v>407.6835182631271</v>
      </c>
    </row>
    <row r="5" spans="1:12" x14ac:dyDescent="0.2">
      <c r="A5">
        <v>4</v>
      </c>
      <c r="B5">
        <f t="shared" si="10"/>
        <v>42.65</v>
      </c>
      <c r="C5">
        <f t="shared" si="2"/>
        <v>42.85</v>
      </c>
      <c r="D5">
        <f t="shared" si="0"/>
        <v>76.89</v>
      </c>
      <c r="E5">
        <f t="shared" si="3"/>
        <v>134.61724520632265</v>
      </c>
      <c r="F5">
        <f t="shared" si="1"/>
        <v>76.89</v>
      </c>
      <c r="G5">
        <f t="shared" si="4"/>
        <v>134.61724520632265</v>
      </c>
      <c r="H5">
        <f t="shared" si="5"/>
        <v>211.50724520632264</v>
      </c>
      <c r="I5">
        <f t="shared" si="6"/>
        <v>288.39724520632262</v>
      </c>
      <c r="J5">
        <f t="shared" si="7"/>
        <v>423.01449041264527</v>
      </c>
      <c r="K5">
        <f t="shared" si="8"/>
        <v>11.498229112138645</v>
      </c>
      <c r="L5">
        <f t="shared" si="9"/>
        <v>411.51626130050664</v>
      </c>
    </row>
    <row r="6" spans="1:12" x14ac:dyDescent="0.2">
      <c r="A6">
        <v>5</v>
      </c>
      <c r="B6">
        <f t="shared" si="10"/>
        <v>43.87</v>
      </c>
      <c r="C6">
        <f t="shared" si="2"/>
        <v>44.07</v>
      </c>
      <c r="D6">
        <f t="shared" si="0"/>
        <v>76.89</v>
      </c>
      <c r="E6">
        <f t="shared" si="3"/>
        <v>138.44998824370219</v>
      </c>
      <c r="F6">
        <f t="shared" si="1"/>
        <v>76.89</v>
      </c>
      <c r="G6">
        <f t="shared" si="4"/>
        <v>138.44998824370219</v>
      </c>
      <c r="H6">
        <f t="shared" si="5"/>
        <v>215.33998824370218</v>
      </c>
      <c r="I6">
        <f t="shared" si="6"/>
        <v>292.22998824370217</v>
      </c>
      <c r="J6">
        <f t="shared" si="7"/>
        <v>430.67997648740436</v>
      </c>
      <c r="K6">
        <f t="shared" si="8"/>
        <v>15.330972149518189</v>
      </c>
      <c r="L6">
        <f t="shared" si="9"/>
        <v>415.34900433788619</v>
      </c>
    </row>
    <row r="7" spans="1:12" x14ac:dyDescent="0.2">
      <c r="A7">
        <v>6</v>
      </c>
      <c r="B7">
        <f t="shared" si="10"/>
        <v>45.089999999999996</v>
      </c>
      <c r="C7">
        <f t="shared" si="2"/>
        <v>45.29</v>
      </c>
      <c r="D7">
        <f t="shared" si="0"/>
        <v>76.89</v>
      </c>
      <c r="E7">
        <f t="shared" si="3"/>
        <v>142.28273128108174</v>
      </c>
      <c r="F7">
        <f t="shared" si="1"/>
        <v>76.89</v>
      </c>
      <c r="G7">
        <f t="shared" si="4"/>
        <v>142.28273128108174</v>
      </c>
      <c r="H7">
        <f t="shared" si="5"/>
        <v>219.17273128108172</v>
      </c>
      <c r="I7">
        <f t="shared" si="6"/>
        <v>296.06273128108171</v>
      </c>
      <c r="J7">
        <f t="shared" si="7"/>
        <v>438.34546256216345</v>
      </c>
      <c r="K7">
        <f t="shared" si="8"/>
        <v>19.163715186897733</v>
      </c>
      <c r="L7">
        <f t="shared" si="9"/>
        <v>419.18174737526573</v>
      </c>
    </row>
    <row r="8" spans="1:12" x14ac:dyDescent="0.2">
      <c r="A8">
        <v>7</v>
      </c>
      <c r="B8">
        <f t="shared" si="10"/>
        <v>46.309999999999995</v>
      </c>
      <c r="C8">
        <f t="shared" si="2"/>
        <v>46.51</v>
      </c>
      <c r="D8">
        <f t="shared" si="0"/>
        <v>76.89</v>
      </c>
      <c r="E8">
        <f t="shared" si="3"/>
        <v>146.11547431846128</v>
      </c>
      <c r="F8">
        <f t="shared" si="1"/>
        <v>76.89</v>
      </c>
      <c r="G8">
        <f t="shared" si="4"/>
        <v>146.11547431846128</v>
      </c>
      <c r="H8">
        <f t="shared" si="5"/>
        <v>223.00547431846127</v>
      </c>
      <c r="I8">
        <f t="shared" si="6"/>
        <v>299.89547431846125</v>
      </c>
      <c r="J8">
        <f t="shared" si="7"/>
        <v>446.01094863692254</v>
      </c>
      <c r="K8">
        <f t="shared" si="8"/>
        <v>22.996458224277276</v>
      </c>
      <c r="L8">
        <f t="shared" si="9"/>
        <v>423.01449041264527</v>
      </c>
    </row>
    <row r="9" spans="1:12" x14ac:dyDescent="0.2">
      <c r="A9">
        <v>8</v>
      </c>
      <c r="B9">
        <f t="shared" si="10"/>
        <v>47.529999999999994</v>
      </c>
      <c r="C9">
        <f t="shared" si="2"/>
        <v>47.73</v>
      </c>
      <c r="D9">
        <f t="shared" si="0"/>
        <v>76.89</v>
      </c>
      <c r="E9">
        <f t="shared" si="3"/>
        <v>149.94821735584082</v>
      </c>
      <c r="F9">
        <f t="shared" si="1"/>
        <v>76.89</v>
      </c>
      <c r="G9">
        <f t="shared" si="4"/>
        <v>149.94821735584082</v>
      </c>
      <c r="H9">
        <f t="shared" si="5"/>
        <v>226.83821735584081</v>
      </c>
      <c r="I9">
        <f>D9+E9+F9</f>
        <v>303.7282173558408</v>
      </c>
      <c r="J9">
        <f t="shared" si="7"/>
        <v>453.67643471168162</v>
      </c>
      <c r="K9">
        <f t="shared" si="8"/>
        <v>26.82920126165682</v>
      </c>
      <c r="L9">
        <f t="shared" si="9"/>
        <v>426.84723345002482</v>
      </c>
    </row>
    <row r="10" spans="1:12" x14ac:dyDescent="0.2">
      <c r="A10">
        <v>9</v>
      </c>
      <c r="B10">
        <f t="shared" si="10"/>
        <v>48.749999999999993</v>
      </c>
      <c r="C10">
        <f t="shared" si="2"/>
        <v>48.949999999999996</v>
      </c>
      <c r="D10">
        <f t="shared" si="0"/>
        <v>76.89</v>
      </c>
      <c r="E10">
        <f t="shared" ref="E10" si="11">PI()*C10</f>
        <v>153.78096039322037</v>
      </c>
      <c r="F10">
        <f t="shared" si="1"/>
        <v>76.89</v>
      </c>
      <c r="G10">
        <f t="shared" ref="G10" si="12">PI()*C10</f>
        <v>153.78096039322037</v>
      </c>
      <c r="H10">
        <f t="shared" ref="H10" si="13">D10+E10</f>
        <v>230.67096039322035</v>
      </c>
      <c r="I10">
        <f>D10+E10+F10</f>
        <v>307.56096039322034</v>
      </c>
      <c r="J10">
        <f t="shared" ref="J10" si="14">D10+E10+F10+G10</f>
        <v>461.34192078644071</v>
      </c>
      <c r="K10">
        <f t="shared" si="8"/>
        <v>30.661944299036364</v>
      </c>
      <c r="L10">
        <f t="shared" si="9"/>
        <v>430.67997648740436</v>
      </c>
    </row>
    <row r="12" spans="1:12" x14ac:dyDescent="0.2">
      <c r="A12">
        <v>76.89</v>
      </c>
    </row>
    <row r="13" spans="1:12" x14ac:dyDescent="0.2">
      <c r="A13">
        <f>J2</f>
        <v>400.01803218836801</v>
      </c>
    </row>
    <row r="14" spans="1:12" x14ac:dyDescent="0.2">
      <c r="A14">
        <f>FullLap/400</f>
        <v>1.00004508047092</v>
      </c>
    </row>
    <row r="16" spans="1:12" x14ac:dyDescent="0.2">
      <c r="A16" t="s">
        <v>34</v>
      </c>
    </row>
    <row r="17" spans="1:4" x14ac:dyDescent="0.2">
      <c r="A17">
        <v>200</v>
      </c>
    </row>
    <row r="18" spans="1:4" x14ac:dyDescent="0.2">
      <c r="A18">
        <f>DIstanceMultiplier*A17</f>
        <v>200.00901609418401</v>
      </c>
      <c r="B18" t="s">
        <v>14</v>
      </c>
      <c r="C18" t="s">
        <v>0</v>
      </c>
      <c r="D18" t="s">
        <v>1</v>
      </c>
    </row>
    <row r="19" spans="1:4" x14ac:dyDescent="0.2">
      <c r="A19">
        <f>A18</f>
        <v>200.00901609418401</v>
      </c>
      <c r="B19">
        <v>1</v>
      </c>
      <c r="C19" s="1">
        <f t="shared" ref="C19:C26" si="15">(Straight-(IF(A19&gt;VLOOKUP(B19,Data,4,FALSE),1,A19/VLOOKUP(B19,Data,4,FALSE)))*Straight+(IF(A19&gt;VLOOKUP(B19,Data,9,FALSE),1,IF(A19&gt;VLOOKUP(B19,Data,8,FALSE),(A19-VLOOKUP(B19,Data,8,FALSE))/VLOOKUP(B19,Data,6,FALSE),0)))*Straight)-VLOOKUP(B19,Data,2,FALSE)*SIN(RADIANS(180*(IF(A19&gt;VLOOKUP(B19,Data,8,FALSE),1,IF(A19&gt;VLOOKUP(B19,Data,4,FALSE),(A19-VLOOKUP(B19,Data,4,FALSE))/VLOOKUP(B19,Data,5,FALSE),0)))+180*(IF(A19&gt;VLOOKUP(B19,Data,10,FALSE),1,IF(A19&gt;VLOOKUP(B19,Data,9,FALSE),(A19-VLOOKUP(B19,Data,9,FALSE))/VLOOKUP(B19,Data,7,FALSE),0)))))</f>
        <v>-4.7748978698755303E-15</v>
      </c>
      <c r="D19" s="1">
        <f t="shared" ref="D19:D26" si="16">-VLOOKUP(B19,Data,2,FALSE)*COS(RADIANS(180*(IF(A19&gt;VLOOKUP(B19,Data,8,FALSE),1,IF(A19&gt;VLOOKUP(B19,Data,4,FALSE),(A19-VLOOKUP(B19,Data,4,FALSE))/VLOOKUP(B19,Data,5,FALSE),0)))+180*(IF(A19&gt;VLOOKUP(B19,Data,10,FALSE),1,IF(A19&gt;VLOOKUP(B19,Data,9,FALSE),(A19-VLOOKUP(B19,Data,9,FALSE))/VLOOKUP(B19,Data,7,FALSE),0)))))</f>
        <v>38.99</v>
      </c>
    </row>
    <row r="20" spans="1:4" x14ac:dyDescent="0.2">
      <c r="A20">
        <f>A19</f>
        <v>200.00901609418401</v>
      </c>
      <c r="B20">
        <v>2</v>
      </c>
      <c r="C20" s="1">
        <f t="shared" si="15"/>
        <v>-3.8080583124796639</v>
      </c>
      <c r="D20" s="1">
        <f t="shared" si="16"/>
        <v>40.029274186384576</v>
      </c>
    </row>
    <row r="21" spans="1:4" x14ac:dyDescent="0.2">
      <c r="A21">
        <f t="shared" ref="A21:A26" si="17">A20</f>
        <v>200.00901609418401</v>
      </c>
      <c r="B21">
        <v>3</v>
      </c>
      <c r="C21" s="1">
        <f t="shared" si="15"/>
        <v>-7.5856237922469374</v>
      </c>
      <c r="D21" s="1">
        <f t="shared" si="16"/>
        <v>40.729635545662539</v>
      </c>
    </row>
    <row r="22" spans="1:4" x14ac:dyDescent="0.2">
      <c r="A22">
        <f t="shared" si="17"/>
        <v>200.00901609418401</v>
      </c>
      <c r="B22">
        <v>4</v>
      </c>
      <c r="C22" s="1">
        <f t="shared" si="15"/>
        <v>-11.307711864332953</v>
      </c>
      <c r="D22" s="1">
        <f t="shared" si="16"/>
        <v>41.123693321408084</v>
      </c>
    </row>
    <row r="23" spans="1:4" x14ac:dyDescent="0.2">
      <c r="A23">
        <f t="shared" si="17"/>
        <v>200.00901609418401</v>
      </c>
      <c r="B23">
        <v>5</v>
      </c>
      <c r="C23" s="1">
        <f t="shared" si="15"/>
        <v>-14.955434209628235</v>
      </c>
      <c r="D23" s="1">
        <f t="shared" si="16"/>
        <v>41.242113035118379</v>
      </c>
    </row>
    <row r="24" spans="1:4" x14ac:dyDescent="0.2">
      <c r="A24">
        <f t="shared" si="17"/>
        <v>200.00901609418401</v>
      </c>
      <c r="B24">
        <v>6</v>
      </c>
      <c r="C24" s="1">
        <f t="shared" si="15"/>
        <v>-18.514837313612375</v>
      </c>
      <c r="D24" s="1">
        <f t="shared" si="16"/>
        <v>41.113366430523136</v>
      </c>
    </row>
    <row r="25" spans="1:4" x14ac:dyDescent="0.2">
      <c r="A25">
        <f t="shared" si="17"/>
        <v>200.00901609418401</v>
      </c>
      <c r="B25">
        <v>7</v>
      </c>
      <c r="C25" s="1">
        <f t="shared" si="15"/>
        <v>-21.975938739861952</v>
      </c>
      <c r="D25" s="1">
        <f t="shared" si="16"/>
        <v>40.763638410988712</v>
      </c>
    </row>
    <row r="26" spans="1:4" x14ac:dyDescent="0.2">
      <c r="A26">
        <f t="shared" si="17"/>
        <v>200.00901609418401</v>
      </c>
      <c r="B26">
        <v>8</v>
      </c>
      <c r="C26" s="1">
        <f t="shared" si="15"/>
        <v>-25.33193310499458</v>
      </c>
      <c r="D26" s="1">
        <f t="shared" si="16"/>
        <v>40.216838080138508</v>
      </c>
    </row>
    <row r="28" spans="1:4" x14ac:dyDescent="0.2">
      <c r="A28" t="s">
        <v>80</v>
      </c>
    </row>
    <row r="29" spans="1:4" x14ac:dyDescent="0.2">
      <c r="B29">
        <v>1</v>
      </c>
      <c r="C29">
        <v>0</v>
      </c>
    </row>
    <row r="30" spans="1:4" x14ac:dyDescent="0.2">
      <c r="B30">
        <v>2</v>
      </c>
      <c r="C30">
        <f>C29+1.22</f>
        <v>1.22</v>
      </c>
    </row>
    <row r="31" spans="1:4" x14ac:dyDescent="0.2">
      <c r="B31">
        <v>3</v>
      </c>
      <c r="C31">
        <f t="shared" ref="C31:C39" si="18">C30+1.22</f>
        <v>2.44</v>
      </c>
    </row>
    <row r="32" spans="1:4" x14ac:dyDescent="0.2">
      <c r="B32">
        <v>4</v>
      </c>
      <c r="C32">
        <f t="shared" si="18"/>
        <v>3.66</v>
      </c>
    </row>
    <row r="33" spans="2:3" x14ac:dyDescent="0.2">
      <c r="B33">
        <v>5</v>
      </c>
      <c r="C33">
        <f t="shared" si="18"/>
        <v>4.88</v>
      </c>
    </row>
    <row r="34" spans="2:3" x14ac:dyDescent="0.2">
      <c r="B34">
        <v>6</v>
      </c>
      <c r="C34">
        <f t="shared" si="18"/>
        <v>6.1</v>
      </c>
    </row>
    <row r="35" spans="2:3" x14ac:dyDescent="0.2">
      <c r="B35">
        <v>7</v>
      </c>
      <c r="C35">
        <f t="shared" si="18"/>
        <v>7.3199999999999994</v>
      </c>
    </row>
    <row r="36" spans="2:3" ht="17" thickBot="1" x14ac:dyDescent="0.25">
      <c r="B36">
        <v>8</v>
      </c>
      <c r="C36">
        <f t="shared" si="18"/>
        <v>8.5399999999999991</v>
      </c>
    </row>
    <row r="37" spans="2:3" ht="17" thickBot="1" x14ac:dyDescent="0.25">
      <c r="B37">
        <v>9</v>
      </c>
      <c r="C37" s="47">
        <f t="shared" si="18"/>
        <v>9.76</v>
      </c>
    </row>
    <row r="38" spans="2:3" x14ac:dyDescent="0.2">
      <c r="B38">
        <v>10</v>
      </c>
      <c r="C38">
        <f t="shared" si="18"/>
        <v>10.98</v>
      </c>
    </row>
    <row r="39" spans="2:3" x14ac:dyDescent="0.2">
      <c r="B39">
        <v>11</v>
      </c>
      <c r="C39">
        <f t="shared" si="18"/>
        <v>12.200000000000001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B792-5072-604D-9266-9ABDE087C86E}">
  <dimension ref="A1:AY77"/>
  <sheetViews>
    <sheetView workbookViewId="0"/>
  </sheetViews>
  <sheetFormatPr baseColWidth="10" defaultRowHeight="16" x14ac:dyDescent="0.2"/>
  <cols>
    <col min="2" max="2" width="10.83203125" style="1"/>
    <col min="4" max="5" width="10.83203125" style="1"/>
    <col min="7" max="7" width="10.83203125" style="1"/>
    <col min="9" max="10" width="10.83203125" style="1"/>
    <col min="12" max="12" width="10.83203125" style="1"/>
    <col min="14" max="15" width="10.83203125" style="1"/>
  </cols>
  <sheetData>
    <row r="1" spans="1:51" x14ac:dyDescent="0.2">
      <c r="A1" t="str">
        <f>CONCATENATE("Lane ",C3)</f>
        <v>Lane 1</v>
      </c>
      <c r="F1" t="str">
        <f>CONCATENATE("Lane ",H3)</f>
        <v>Lane 2</v>
      </c>
      <c r="K1" t="str">
        <f>CONCATENATE("Lane ",M3)</f>
        <v>Lane 3</v>
      </c>
      <c r="P1" t="str">
        <f>CONCATENATE("Lane ",R3)</f>
        <v>Lane 4</v>
      </c>
      <c r="Q1" s="1"/>
      <c r="S1" s="1"/>
      <c r="T1" s="1"/>
      <c r="U1" t="str">
        <f>CONCATENATE("Lane ",W3)</f>
        <v>Lane 5</v>
      </c>
      <c r="V1" s="1"/>
      <c r="X1" s="1"/>
      <c r="Y1" s="1"/>
      <c r="Z1" t="str">
        <f>CONCATENATE("Lane ",AB3)</f>
        <v>Lane 6</v>
      </c>
      <c r="AA1" s="1"/>
      <c r="AC1" s="1"/>
      <c r="AD1" s="1"/>
      <c r="AE1" t="str">
        <f>CONCATENATE("Lane ",AG3)</f>
        <v>Lane 7</v>
      </c>
      <c r="AF1" s="1"/>
      <c r="AH1" s="1"/>
      <c r="AI1" s="1"/>
      <c r="AJ1" t="str">
        <f>CONCATENATE("Lane ",AL3)</f>
        <v>Lane 8</v>
      </c>
      <c r="AK1" s="1"/>
      <c r="AM1" s="1"/>
      <c r="AN1" s="1"/>
      <c r="AO1" t="str">
        <f>CONCATENATE("Lane ",AQ3)</f>
        <v>Lane 9</v>
      </c>
      <c r="AP1" s="1"/>
      <c r="AR1" s="1"/>
      <c r="AS1" s="1"/>
      <c r="AT1" t="s">
        <v>31</v>
      </c>
      <c r="AX1" t="s">
        <v>56</v>
      </c>
    </row>
    <row r="2" spans="1:51" x14ac:dyDescent="0.2">
      <c r="B2" s="1" t="s">
        <v>27</v>
      </c>
      <c r="C2" s="2" t="s">
        <v>14</v>
      </c>
      <c r="D2" s="3" t="s">
        <v>0</v>
      </c>
      <c r="E2" s="3" t="s">
        <v>1</v>
      </c>
      <c r="G2" s="1" t="s">
        <v>27</v>
      </c>
      <c r="H2" s="2" t="s">
        <v>14</v>
      </c>
      <c r="I2" s="3" t="s">
        <v>0</v>
      </c>
      <c r="J2" s="3" t="s">
        <v>1</v>
      </c>
      <c r="L2" s="1" t="s">
        <v>27</v>
      </c>
      <c r="M2" s="2" t="s">
        <v>14</v>
      </c>
      <c r="N2" s="3" t="s">
        <v>0</v>
      </c>
      <c r="O2" s="3" t="s">
        <v>1</v>
      </c>
      <c r="Q2" s="1" t="s">
        <v>27</v>
      </c>
      <c r="R2" s="2" t="s">
        <v>14</v>
      </c>
      <c r="S2" s="3" t="s">
        <v>0</v>
      </c>
      <c r="T2" s="3" t="s">
        <v>1</v>
      </c>
      <c r="V2" s="1" t="s">
        <v>27</v>
      </c>
      <c r="W2" s="2" t="s">
        <v>14</v>
      </c>
      <c r="X2" s="3" t="s">
        <v>0</v>
      </c>
      <c r="Y2" s="3" t="s">
        <v>1</v>
      </c>
      <c r="AA2" s="1" t="s">
        <v>27</v>
      </c>
      <c r="AB2" s="2" t="s">
        <v>14</v>
      </c>
      <c r="AC2" s="3" t="s">
        <v>0</v>
      </c>
      <c r="AD2" s="3" t="s">
        <v>1</v>
      </c>
      <c r="AF2" s="1" t="s">
        <v>27</v>
      </c>
      <c r="AG2" s="2" t="s">
        <v>14</v>
      </c>
      <c r="AH2" s="3" t="s">
        <v>0</v>
      </c>
      <c r="AI2" s="3" t="s">
        <v>1</v>
      </c>
      <c r="AK2" s="1" t="s">
        <v>27</v>
      </c>
      <c r="AL2" s="2" t="s">
        <v>14</v>
      </c>
      <c r="AM2" s="3" t="s">
        <v>0</v>
      </c>
      <c r="AN2" s="3" t="s">
        <v>1</v>
      </c>
      <c r="AP2" s="1" t="s">
        <v>27</v>
      </c>
      <c r="AQ2" s="2" t="s">
        <v>14</v>
      </c>
      <c r="AR2" s="3" t="s">
        <v>0</v>
      </c>
      <c r="AS2" s="3" t="s">
        <v>1</v>
      </c>
      <c r="AT2" s="1" t="s">
        <v>27</v>
      </c>
      <c r="AU2" s="2" t="s">
        <v>14</v>
      </c>
      <c r="AV2" s="3" t="s">
        <v>0</v>
      </c>
      <c r="AW2" s="3" t="s">
        <v>1</v>
      </c>
      <c r="AX2" s="3" t="s">
        <v>0</v>
      </c>
      <c r="AY2" s="3" t="s">
        <v>1</v>
      </c>
    </row>
    <row r="3" spans="1:51" x14ac:dyDescent="0.2">
      <c r="B3" s="1">
        <v>0</v>
      </c>
      <c r="C3">
        <v>1</v>
      </c>
      <c r="D3" s="1">
        <f t="shared" ref="D3:D34" si="0">(Straight-(IF(B3&gt;VLOOKUP(C3,Data,4,FALSE),1,B3/VLOOKUP(C3,Data,4,FALSE)))*Straight+(IF(B3&gt;VLOOKUP(C3,Data,9,FALSE),1,IF(B3&gt;VLOOKUP(C3,Data,8,FALSE),(B3-VLOOKUP(C3,Data,8,FALSE))/VLOOKUP(C3,Data,6,FALSE),0)))*Straight)-VLOOKUP(C3,Data,2,FALSE)*SIN(RADIANS(180*(IF(B3&gt;VLOOKUP(C3,Data,8,FALSE),1,IF(B3&gt;VLOOKUP(C3,Data,4,FALSE),(B3-VLOOKUP(C3,Data,4,FALSE))/VLOOKUP(C3,Data,5,FALSE),0)))+180*(IF(B3&gt;VLOOKUP(C3,Data,10,FALSE),1,IF(B3&gt;VLOOKUP(C3,Data,9,FALSE),(B3-VLOOKUP(C3,Data,9,FALSE))/VLOOKUP(C3,Data,7,FALSE),0)))))</f>
        <v>76.89</v>
      </c>
      <c r="E3" s="1">
        <f t="shared" ref="E3:E34" si="1">-VLOOKUP(C3,Data,2,FALSE)*COS(RADIANS(180*(IF(B3&gt;VLOOKUP(C3,Data,8,FALSE),1,IF(B3&gt;VLOOKUP(C3,Data,4,FALSE),(B3-VLOOKUP(C3,Data,4,FALSE))/VLOOKUP(C3,Data,5,FALSE),0)))+180*(IF(B3&gt;VLOOKUP(C3,Data,10,FALSE),1,IF(B3&gt;VLOOKUP(C3,Data,9,FALSE),(B3-VLOOKUP(C3,Data,9,FALSE))/VLOOKUP(C3,Data,7,FALSE),0)))))</f>
        <v>-38.99</v>
      </c>
      <c r="G3" s="1">
        <v>0</v>
      </c>
      <c r="H3">
        <v>2</v>
      </c>
      <c r="I3" s="1">
        <f t="shared" ref="I3:I34" si="2">(Straight-(IF(G3&gt;VLOOKUP(H3,Data,4,FALSE),1,G3/VLOOKUP(H3,Data,4,FALSE)))*Straight+(IF(G3&gt;VLOOKUP(H3,Data,9,FALSE),1,IF(G3&gt;VLOOKUP(H3,Data,8,FALSE),(G3-VLOOKUP(H3,Data,8,FALSE))/VLOOKUP(H3,Data,6,FALSE),0)))*Straight)-VLOOKUP(H3,Data,2,FALSE)*SIN(RADIANS(180*(IF(G3&gt;VLOOKUP(H3,Data,8,FALSE),1,IF(G3&gt;VLOOKUP(H3,Data,4,FALSE),(G3-VLOOKUP(H3,Data,4,FALSE))/VLOOKUP(H3,Data,5,FALSE),0)))+180*(IF(G3&gt;VLOOKUP(H3,Data,10,FALSE),1,IF(G3&gt;VLOOKUP(H3,Data,9,FALSE),(G3-VLOOKUP(H3,Data,9,FALSE))/VLOOKUP(H3,Data,7,FALSE),0)))))</f>
        <v>76.89</v>
      </c>
      <c r="J3" s="1">
        <f t="shared" ref="J3:J34" si="3">-VLOOKUP(H3,Data,2,FALSE)*COS(RADIANS(180*(IF(G3&gt;VLOOKUP(H3,Data,8,FALSE),1,IF(G3&gt;VLOOKUP(H3,Data,4,FALSE),(G3-VLOOKUP(H3,Data,4,FALSE))/VLOOKUP(H3,Data,5,FALSE),0)))+180*(IF(G3&gt;VLOOKUP(H3,Data,10,FALSE),1,IF(G3&gt;VLOOKUP(H3,Data,9,FALSE),(G3-VLOOKUP(H3,Data,9,FALSE))/VLOOKUP(H3,Data,7,FALSE),0)))))</f>
        <v>-40.21</v>
      </c>
      <c r="L3" s="1">
        <v>0</v>
      </c>
      <c r="M3">
        <v>3</v>
      </c>
      <c r="N3" s="1">
        <f t="shared" ref="N3:N34" si="4">(Straight-(IF(L3&gt;VLOOKUP(M3,Data,4,FALSE),1,L3/VLOOKUP(M3,Data,4,FALSE)))*Straight+(IF(L3&gt;VLOOKUP(M3,Data,9,FALSE),1,IF(L3&gt;VLOOKUP(M3,Data,8,FALSE),(L3-VLOOKUP(M3,Data,8,FALSE))/VLOOKUP(M3,Data,6,FALSE),0)))*Straight)-VLOOKUP(M3,Data,2,FALSE)*SIN(RADIANS(180*(IF(L3&gt;VLOOKUP(M3,Data,8,FALSE),1,IF(L3&gt;VLOOKUP(M3,Data,4,FALSE),(L3-VLOOKUP(M3,Data,4,FALSE))/VLOOKUP(M3,Data,5,FALSE),0)))+180*(IF(L3&gt;VLOOKUP(M3,Data,10,FALSE),1,IF(L3&gt;VLOOKUP(M3,Data,9,FALSE),(L3-VLOOKUP(M3,Data,9,FALSE))/VLOOKUP(M3,Data,7,FALSE),0)))))</f>
        <v>76.89</v>
      </c>
      <c r="O3" s="1">
        <f t="shared" ref="O3:O34" si="5">-VLOOKUP(M3,Data,2,FALSE)*COS(RADIANS(180*(IF(L3&gt;VLOOKUP(M3,Data,8,FALSE),1,IF(L3&gt;VLOOKUP(M3,Data,4,FALSE),(L3-VLOOKUP(M3,Data,4,FALSE))/VLOOKUP(M3,Data,5,FALSE),0)))+180*(IF(L3&gt;VLOOKUP(M3,Data,10,FALSE),1,IF(L3&gt;VLOOKUP(M3,Data,9,FALSE),(L3-VLOOKUP(M3,Data,9,FALSE))/VLOOKUP(M3,Data,7,FALSE),0)))))</f>
        <v>-41.43</v>
      </c>
      <c r="Q3" s="1">
        <v>0</v>
      </c>
      <c r="R3">
        <v>4</v>
      </c>
      <c r="S3" s="1">
        <f t="shared" ref="S3:S34" si="6">(Straight-(IF(Q3&gt;VLOOKUP(R3,Data,4,FALSE),1,Q3/VLOOKUP(R3,Data,4,FALSE)))*Straight+(IF(Q3&gt;VLOOKUP(R3,Data,9,FALSE),1,IF(Q3&gt;VLOOKUP(R3,Data,8,FALSE),(Q3-VLOOKUP(R3,Data,8,FALSE))/VLOOKUP(R3,Data,6,FALSE),0)))*Straight)-VLOOKUP(R3,Data,2,FALSE)*SIN(RADIANS(180*(IF(Q3&gt;VLOOKUP(R3,Data,8,FALSE),1,IF(Q3&gt;VLOOKUP(R3,Data,4,FALSE),(Q3-VLOOKUP(R3,Data,4,FALSE))/VLOOKUP(R3,Data,5,FALSE),0)))+180*(IF(Q3&gt;VLOOKUP(R3,Data,10,FALSE),1,IF(Q3&gt;VLOOKUP(R3,Data,9,FALSE),(Q3-VLOOKUP(R3,Data,9,FALSE))/VLOOKUP(R3,Data,7,FALSE),0)))))</f>
        <v>76.89</v>
      </c>
      <c r="T3" s="1">
        <f t="shared" ref="T3:T34" si="7">-VLOOKUP(R3,Data,2,FALSE)*COS(RADIANS(180*(IF(Q3&gt;VLOOKUP(R3,Data,8,FALSE),1,IF(Q3&gt;VLOOKUP(R3,Data,4,FALSE),(Q3-VLOOKUP(R3,Data,4,FALSE))/VLOOKUP(R3,Data,5,FALSE),0)))+180*(IF(Q3&gt;VLOOKUP(R3,Data,10,FALSE),1,IF(Q3&gt;VLOOKUP(R3,Data,9,FALSE),(Q3-VLOOKUP(R3,Data,9,FALSE))/VLOOKUP(R3,Data,7,FALSE),0)))))</f>
        <v>-42.65</v>
      </c>
      <c r="V3" s="1">
        <v>0</v>
      </c>
      <c r="W3">
        <v>5</v>
      </c>
      <c r="X3" s="1">
        <f t="shared" ref="X3:X34" si="8">(Straight-(IF(V3&gt;VLOOKUP(W3,Data,4,FALSE),1,V3/VLOOKUP(W3,Data,4,FALSE)))*Straight+(IF(V3&gt;VLOOKUP(W3,Data,9,FALSE),1,IF(V3&gt;VLOOKUP(W3,Data,8,FALSE),(V3-VLOOKUP(W3,Data,8,FALSE))/VLOOKUP(W3,Data,6,FALSE),0)))*Straight)-VLOOKUP(W3,Data,2,FALSE)*SIN(RADIANS(180*(IF(V3&gt;VLOOKUP(W3,Data,8,FALSE),1,IF(V3&gt;VLOOKUP(W3,Data,4,FALSE),(V3-VLOOKUP(W3,Data,4,FALSE))/VLOOKUP(W3,Data,5,FALSE),0)))+180*(IF(V3&gt;VLOOKUP(W3,Data,10,FALSE),1,IF(V3&gt;VLOOKUP(W3,Data,9,FALSE),(V3-VLOOKUP(W3,Data,9,FALSE))/VLOOKUP(W3,Data,7,FALSE),0)))))</f>
        <v>76.89</v>
      </c>
      <c r="Y3" s="1">
        <f t="shared" ref="Y3:Y34" si="9">-VLOOKUP(W3,Data,2,FALSE)*COS(RADIANS(180*(IF(V3&gt;VLOOKUP(W3,Data,8,FALSE),1,IF(V3&gt;VLOOKUP(W3,Data,4,FALSE),(V3-VLOOKUP(W3,Data,4,FALSE))/VLOOKUP(W3,Data,5,FALSE),0)))+180*(IF(V3&gt;VLOOKUP(W3,Data,10,FALSE),1,IF(V3&gt;VLOOKUP(W3,Data,9,FALSE),(V3-VLOOKUP(W3,Data,9,FALSE))/VLOOKUP(W3,Data,7,FALSE),0)))))</f>
        <v>-43.87</v>
      </c>
      <c r="AA3" s="1">
        <v>0</v>
      </c>
      <c r="AB3">
        <v>6</v>
      </c>
      <c r="AC3" s="1">
        <f t="shared" ref="AC3:AC34" si="10">(Straight-(IF(AA3&gt;VLOOKUP(AB3,Data,4,FALSE),1,AA3/VLOOKUP(AB3,Data,4,FALSE)))*Straight+(IF(AA3&gt;VLOOKUP(AB3,Data,9,FALSE),1,IF(AA3&gt;VLOOKUP(AB3,Data,8,FALSE),(AA3-VLOOKUP(AB3,Data,8,FALSE))/VLOOKUP(AB3,Data,6,FALSE),0)))*Straight)-VLOOKUP(AB3,Data,2,FALSE)*SIN(RADIANS(180*(IF(AA3&gt;VLOOKUP(AB3,Data,8,FALSE),1,IF(AA3&gt;VLOOKUP(AB3,Data,4,FALSE),(AA3-VLOOKUP(AB3,Data,4,FALSE))/VLOOKUP(AB3,Data,5,FALSE),0)))+180*(IF(AA3&gt;VLOOKUP(AB3,Data,10,FALSE),1,IF(AA3&gt;VLOOKUP(AB3,Data,9,FALSE),(AA3-VLOOKUP(AB3,Data,9,FALSE))/VLOOKUP(AB3,Data,7,FALSE),0)))))</f>
        <v>76.89</v>
      </c>
      <c r="AD3" s="1">
        <f t="shared" ref="AD3:AD34" si="11">-VLOOKUP(AB3,Data,2,FALSE)*COS(RADIANS(180*(IF(AA3&gt;VLOOKUP(AB3,Data,8,FALSE),1,IF(AA3&gt;VLOOKUP(AB3,Data,4,FALSE),(AA3-VLOOKUP(AB3,Data,4,FALSE))/VLOOKUP(AB3,Data,5,FALSE),0)))+180*(IF(AA3&gt;VLOOKUP(AB3,Data,10,FALSE),1,IF(AA3&gt;VLOOKUP(AB3,Data,9,FALSE),(AA3-VLOOKUP(AB3,Data,9,FALSE))/VLOOKUP(AB3,Data,7,FALSE),0)))))</f>
        <v>-45.089999999999996</v>
      </c>
      <c r="AF3" s="1">
        <v>0</v>
      </c>
      <c r="AG3">
        <v>7</v>
      </c>
      <c r="AH3" s="1">
        <f t="shared" ref="AH3:AH34" si="12">(Straight-(IF(AF3&gt;VLOOKUP(AG3,Data,4,FALSE),1,AF3/VLOOKUP(AG3,Data,4,FALSE)))*Straight+(IF(AF3&gt;VLOOKUP(AG3,Data,9,FALSE),1,IF(AF3&gt;VLOOKUP(AG3,Data,8,FALSE),(AF3-VLOOKUP(AG3,Data,8,FALSE))/VLOOKUP(AG3,Data,6,FALSE),0)))*Straight)-VLOOKUP(AG3,Data,2,FALSE)*SIN(RADIANS(180*(IF(AF3&gt;VLOOKUP(AG3,Data,8,FALSE),1,IF(AF3&gt;VLOOKUP(AG3,Data,4,FALSE),(AF3-VLOOKUP(AG3,Data,4,FALSE))/VLOOKUP(AG3,Data,5,FALSE),0)))+180*(IF(AF3&gt;VLOOKUP(AG3,Data,10,FALSE),1,IF(AF3&gt;VLOOKUP(AG3,Data,9,FALSE),(AF3-VLOOKUP(AG3,Data,9,FALSE))/VLOOKUP(AG3,Data,7,FALSE),0)))))</f>
        <v>76.89</v>
      </c>
      <c r="AI3" s="1">
        <f t="shared" ref="AI3:AI34" si="13">-VLOOKUP(AG3,Data,2,FALSE)*COS(RADIANS(180*(IF(AF3&gt;VLOOKUP(AG3,Data,8,FALSE),1,IF(AF3&gt;VLOOKUP(AG3,Data,4,FALSE),(AF3-VLOOKUP(AG3,Data,4,FALSE))/VLOOKUP(AG3,Data,5,FALSE),0)))+180*(IF(AF3&gt;VLOOKUP(AG3,Data,10,FALSE),1,IF(AF3&gt;VLOOKUP(AG3,Data,9,FALSE),(AF3-VLOOKUP(AG3,Data,9,FALSE))/VLOOKUP(AG3,Data,7,FALSE),0)))))</f>
        <v>-46.309999999999995</v>
      </c>
      <c r="AK3" s="1">
        <v>0</v>
      </c>
      <c r="AL3">
        <v>8</v>
      </c>
      <c r="AM3" s="1">
        <f t="shared" ref="AM3:AM34" si="14">(Straight-(IF(AK3&gt;VLOOKUP(AL3,Data,4,FALSE),1,AK3/VLOOKUP(AL3,Data,4,FALSE)))*Straight+(IF(AK3&gt;VLOOKUP(AL3,Data,9,FALSE),1,IF(AK3&gt;VLOOKUP(AL3,Data,8,FALSE),(AK3-VLOOKUP(AL3,Data,8,FALSE))/VLOOKUP(AL3,Data,6,FALSE),0)))*Straight)-VLOOKUP(AL3,Data,2,FALSE)*SIN(RADIANS(180*(IF(AK3&gt;VLOOKUP(AL3,Data,8,FALSE),1,IF(AK3&gt;VLOOKUP(AL3,Data,4,FALSE),(AK3-VLOOKUP(AL3,Data,4,FALSE))/VLOOKUP(AL3,Data,5,FALSE),0)))+180*(IF(AK3&gt;VLOOKUP(AL3,Data,10,FALSE),1,IF(AK3&gt;VLOOKUP(AL3,Data,9,FALSE),(AK3-VLOOKUP(AL3,Data,9,FALSE))/VLOOKUP(AL3,Data,7,FALSE),0)))))</f>
        <v>76.89</v>
      </c>
      <c r="AN3" s="1">
        <f t="shared" ref="AN3:AN34" si="15">-VLOOKUP(AL3,Data,2,FALSE)*COS(RADIANS(180*(IF(AK3&gt;VLOOKUP(AL3,Data,8,FALSE),1,IF(AK3&gt;VLOOKUP(AL3,Data,4,FALSE),(AK3-VLOOKUP(AL3,Data,4,FALSE))/VLOOKUP(AL3,Data,5,FALSE),0)))+180*(IF(AK3&gt;VLOOKUP(AL3,Data,10,FALSE),1,IF(AK3&gt;VLOOKUP(AL3,Data,9,FALSE),(AK3-VLOOKUP(AL3,Data,9,FALSE))/VLOOKUP(AL3,Data,7,FALSE),0)))))</f>
        <v>-47.529999999999994</v>
      </c>
      <c r="AP3" s="1">
        <v>0</v>
      </c>
      <c r="AQ3">
        <v>9</v>
      </c>
      <c r="AR3" s="1">
        <f t="shared" ref="AR3:AR34" si="16">(Straight-(IF(AP3&gt;VLOOKUP(AQ3,Data,4,FALSE),1,AP3/VLOOKUP(AQ3,Data,4,FALSE)))*Straight+(IF(AP3&gt;VLOOKUP(AQ3,Data,9,FALSE),1,IF(AP3&gt;VLOOKUP(AQ3,Data,8,FALSE),(AP3-VLOOKUP(AQ3,Data,8,FALSE))/VLOOKUP(AQ3,Data,6,FALSE),0)))*Straight)-VLOOKUP(AQ3,Data,2,FALSE)*SIN(RADIANS(180*(IF(AP3&gt;VLOOKUP(AQ3,Data,8,FALSE),1,IF(AP3&gt;VLOOKUP(AQ3,Data,4,FALSE),(AP3-VLOOKUP(AQ3,Data,4,FALSE))/VLOOKUP(AQ3,Data,5,FALSE),0)))+180*(IF(AP3&gt;VLOOKUP(AQ3,Data,10,FALSE),1,IF(AP3&gt;VLOOKUP(AQ3,Data,9,FALSE),(AP3-VLOOKUP(AQ3,Data,9,FALSE))/VLOOKUP(AQ3,Data,7,FALSE),0)))))</f>
        <v>76.89</v>
      </c>
      <c r="AS3" s="1">
        <f t="shared" ref="AS3:AS34" si="17">-VLOOKUP(AQ3,Data,2,FALSE)*COS(RADIANS(180*(IF(AP3&gt;VLOOKUP(AQ3,Data,8,FALSE),1,IF(AP3&gt;VLOOKUP(AQ3,Data,4,FALSE),(AP3-VLOOKUP(AQ3,Data,4,FALSE))/VLOOKUP(AQ3,Data,5,FALSE),0)))+180*(IF(AP3&gt;VLOOKUP(AQ3,Data,10,FALSE),1,IF(AP3&gt;VLOOKUP(AQ3,Data,9,FALSE),(AP3-VLOOKUP(AQ3,Data,9,FALSE))/VLOOKUP(AQ3,Data,7,FALSE),0)))))</f>
        <v>-48.749999999999993</v>
      </c>
      <c r="AT3" s="1">
        <v>0</v>
      </c>
      <c r="AU3">
        <v>1</v>
      </c>
      <c r="AV3" s="1">
        <f>(Straight-(IF(AT3&gt;VLOOKUP(AU3,Data,4,FALSE),1,AT3/VLOOKUP(AU3,Data,4,FALSE)))*Straight+(IF(AT3&gt;VLOOKUP(AU3,Data,9,FALSE),1,IF(AT3&gt;VLOOKUP(AU3,Data,8,FALSE),(AT3-VLOOKUP(AU3,Data,8,FALSE))/VLOOKUP(AU3,Data,6,FALSE),0)))*Straight)-VLOOKUP(AU3,Data,2,FALSE)*SIN(RADIANS(180*(IF(AT3&gt;VLOOKUP(AU3,Data,8,FALSE),1,IF(AT3&gt;VLOOKUP(AU3,Data,4,FALSE),(AT3-VLOOKUP(AU3,Data,4,FALSE))/VLOOKUP(AU3,Data,5,FALSE),0)))+180*(IF(AT3&gt;VLOOKUP(AU3,Data,10,FALSE),1,IF(AT3&gt;VLOOKUP(AU3,Data,9,FALSE),(AT3-VLOOKUP(AU3,Data,9,FALSE))/VLOOKUP(AU3,Data,7,FALSE),0)))))</f>
        <v>76.89</v>
      </c>
      <c r="AW3" s="1">
        <f>-VLOOKUP(AU3,Data,2,FALSE)*COS(RADIANS(180*(IF(AT3&gt;VLOOKUP(AU3,Data,8,FALSE),1,IF(AT3&gt;VLOOKUP(AU3,Data,4,FALSE),(AT3-VLOOKUP(AU3,Data,4,FALSE))/VLOOKUP(AU3,Data,5,FALSE),0)))+180*(IF(AT3&gt;VLOOKUP(AU3,Data,10,FALSE),1,IF(AT3&gt;VLOOKUP(AU3,Data,9,FALSE),(AT3-VLOOKUP(AU3,Data,9,FALSE))/VLOOKUP(AU3,Data,7,FALSE),0)))))</f>
        <v>-38.99</v>
      </c>
      <c r="AX3">
        <v>-23.11</v>
      </c>
      <c r="AY3">
        <f>-Radius</f>
        <v>-38.99</v>
      </c>
    </row>
    <row r="4" spans="1:51" x14ac:dyDescent="0.2">
      <c r="B4" s="1">
        <f>Straight</f>
        <v>76.89</v>
      </c>
      <c r="C4">
        <f>C3</f>
        <v>1</v>
      </c>
      <c r="D4" s="1">
        <f t="shared" si="0"/>
        <v>0</v>
      </c>
      <c r="E4" s="1">
        <f t="shared" si="1"/>
        <v>-38.99</v>
      </c>
      <c r="G4" s="1">
        <f>Straight</f>
        <v>76.89</v>
      </c>
      <c r="H4">
        <f>H3</f>
        <v>2</v>
      </c>
      <c r="I4" s="1">
        <f t="shared" si="2"/>
        <v>0</v>
      </c>
      <c r="J4" s="1">
        <f t="shared" si="3"/>
        <v>-40.21</v>
      </c>
      <c r="L4" s="1">
        <f>Straight</f>
        <v>76.89</v>
      </c>
      <c r="M4">
        <f>M3</f>
        <v>3</v>
      </c>
      <c r="N4" s="1">
        <f t="shared" si="4"/>
        <v>0</v>
      </c>
      <c r="O4" s="1">
        <f t="shared" si="5"/>
        <v>-41.43</v>
      </c>
      <c r="Q4" s="1">
        <f>Straight</f>
        <v>76.89</v>
      </c>
      <c r="R4">
        <f>R3</f>
        <v>4</v>
      </c>
      <c r="S4" s="1">
        <f t="shared" si="6"/>
        <v>0</v>
      </c>
      <c r="T4" s="1">
        <f t="shared" si="7"/>
        <v>-42.65</v>
      </c>
      <c r="V4" s="1">
        <f>Straight</f>
        <v>76.89</v>
      </c>
      <c r="W4">
        <f>W3</f>
        <v>5</v>
      </c>
      <c r="X4" s="1">
        <f t="shared" si="8"/>
        <v>0</v>
      </c>
      <c r="Y4" s="1">
        <f t="shared" si="9"/>
        <v>-43.87</v>
      </c>
      <c r="AA4" s="1">
        <f>Straight</f>
        <v>76.89</v>
      </c>
      <c r="AB4">
        <f>AB3</f>
        <v>6</v>
      </c>
      <c r="AC4" s="1">
        <f t="shared" si="10"/>
        <v>0</v>
      </c>
      <c r="AD4" s="1">
        <f t="shared" si="11"/>
        <v>-45.089999999999996</v>
      </c>
      <c r="AF4" s="1">
        <f>Straight</f>
        <v>76.89</v>
      </c>
      <c r="AG4">
        <f>AG3</f>
        <v>7</v>
      </c>
      <c r="AH4" s="1">
        <f t="shared" si="12"/>
        <v>0</v>
      </c>
      <c r="AI4" s="1">
        <f t="shared" si="13"/>
        <v>-46.309999999999995</v>
      </c>
      <c r="AK4" s="1">
        <f>Straight</f>
        <v>76.89</v>
      </c>
      <c r="AL4">
        <f>AL3</f>
        <v>8</v>
      </c>
      <c r="AM4" s="1">
        <f t="shared" si="14"/>
        <v>0</v>
      </c>
      <c r="AN4" s="1">
        <f t="shared" si="15"/>
        <v>-47.529999999999994</v>
      </c>
      <c r="AP4" s="1">
        <f>Straight</f>
        <v>76.89</v>
      </c>
      <c r="AQ4">
        <f>AQ3</f>
        <v>9</v>
      </c>
      <c r="AR4" s="1">
        <f t="shared" si="16"/>
        <v>0</v>
      </c>
      <c r="AS4" s="1">
        <f t="shared" si="17"/>
        <v>-48.749999999999993</v>
      </c>
      <c r="AT4" s="1">
        <v>0</v>
      </c>
      <c r="AU4">
        <v>9</v>
      </c>
      <c r="AV4" s="1">
        <f>(Straight-(IF(AT4&gt;VLOOKUP(AU4,Data,4,FALSE),1,AT4/VLOOKUP(AU4,Data,4,FALSE)))*Straight+(IF(AT4&gt;VLOOKUP(AU4,Data,9,FALSE),1,IF(AT4&gt;VLOOKUP(AU4,Data,8,FALSE),(AT4-VLOOKUP(AU4,Data,8,FALSE))/VLOOKUP(AU4,Data,6,FALSE),0)))*Straight)-VLOOKUP(AU4,Data,2,FALSE)*SIN(RADIANS(180*(IF(AT4&gt;VLOOKUP(AU4,Data,8,FALSE),1,IF(AT4&gt;VLOOKUP(AU4,Data,4,FALSE),(AT4-VLOOKUP(AU4,Data,4,FALSE))/VLOOKUP(AU4,Data,5,FALSE),0)))+180*(IF(AT4&gt;VLOOKUP(AU4,Data,10,FALSE),1,IF(AT4&gt;VLOOKUP(AU4,Data,9,FALSE),(AT4-VLOOKUP(AU4,Data,9,FALSE))/VLOOKUP(AU4,Data,7,FALSE),0)))))</f>
        <v>76.89</v>
      </c>
      <c r="AW4" s="1">
        <f>-VLOOKUP(AU4,Data,2,FALSE)*COS(RADIANS(180*(IF(AT4&gt;VLOOKUP(AU4,Data,8,FALSE),1,IF(AT4&gt;VLOOKUP(AU4,Data,4,FALSE),(AT4-VLOOKUP(AU4,Data,4,FALSE))/VLOOKUP(AU4,Data,5,FALSE),0)))+180*(IF(AT4&gt;VLOOKUP(AU4,Data,10,FALSE),1,IF(AT4&gt;VLOOKUP(AU4,Data,9,FALSE),(AT4-VLOOKUP(AU4,Data,9,FALSE))/VLOOKUP(AU4,Data,7,FALSE),0)))))</f>
        <v>-48.749999999999993</v>
      </c>
      <c r="AX4">
        <v>-23.11</v>
      </c>
      <c r="AY4">
        <f>-OutRadius</f>
        <v>-48.749999999999993</v>
      </c>
    </row>
    <row r="5" spans="1:51" x14ac:dyDescent="0.2">
      <c r="A5">
        <v>5</v>
      </c>
      <c r="B5" s="1">
        <f>B$4+VLOOKUP(Lanes!C5,Data,5,FALSE)*(A5/180)</f>
        <v>80.309972669282885</v>
      </c>
      <c r="C5">
        <f t="shared" ref="C5:C68" si="18">C4</f>
        <v>1</v>
      </c>
      <c r="D5" s="1">
        <f t="shared" si="0"/>
        <v>-3.3982024097311876</v>
      </c>
      <c r="E5" s="1">
        <f t="shared" si="1"/>
        <v>-38.841631278597163</v>
      </c>
      <c r="F5">
        <v>5</v>
      </c>
      <c r="G5" s="1">
        <f>G$4+VLOOKUP(Lanes!H5,Data,5,FALSE)*(F5/180)</f>
        <v>80.416437753654549</v>
      </c>
      <c r="H5">
        <f t="shared" ref="H5:H68" si="19">H4</f>
        <v>2</v>
      </c>
      <c r="I5" s="1">
        <f t="shared" si="2"/>
        <v>-3.50453241588334</v>
      </c>
      <c r="J5" s="1">
        <f t="shared" si="3"/>
        <v>-40.05698881026909</v>
      </c>
      <c r="K5">
        <v>5</v>
      </c>
      <c r="L5" s="1">
        <f>L$4+VLOOKUP(Lanes!M5,Data,5,FALSE)*(K5/180)</f>
        <v>80.522902838026198</v>
      </c>
      <c r="M5">
        <f t="shared" ref="M5:M68" si="20">M4</f>
        <v>3</v>
      </c>
      <c r="N5" s="1">
        <f t="shared" si="4"/>
        <v>-3.6108624220354777</v>
      </c>
      <c r="O5" s="1">
        <f t="shared" si="5"/>
        <v>-41.272346341941017</v>
      </c>
      <c r="P5">
        <v>5</v>
      </c>
      <c r="Q5" s="1">
        <f>Q$4+VLOOKUP(Lanes!R5,Data,5,FALSE)*(P5/180)</f>
        <v>80.629367922397847</v>
      </c>
      <c r="R5">
        <f t="shared" ref="R5:R68" si="21">R4</f>
        <v>4</v>
      </c>
      <c r="S5" s="1">
        <f t="shared" si="6"/>
        <v>-3.7171924281876159</v>
      </c>
      <c r="T5" s="1">
        <f t="shared" si="7"/>
        <v>-42.487703873612944</v>
      </c>
      <c r="U5">
        <v>5</v>
      </c>
      <c r="V5" s="1">
        <f>V$4+VLOOKUP(Lanes!W5,Data,5,FALSE)*(U5/180)</f>
        <v>80.735833006769511</v>
      </c>
      <c r="W5">
        <f t="shared" ref="W5:W68" si="22">W4</f>
        <v>5</v>
      </c>
      <c r="X5" s="1">
        <f t="shared" si="8"/>
        <v>-3.8235224343397682</v>
      </c>
      <c r="Y5" s="1">
        <f t="shared" si="9"/>
        <v>-43.703061405284878</v>
      </c>
      <c r="Z5">
        <v>5</v>
      </c>
      <c r="AA5" s="1">
        <f>AA$4+VLOOKUP(Lanes!AB5,Data,5,FALSE)*(Z5/180)</f>
        <v>80.84229809114116</v>
      </c>
      <c r="AB5">
        <f t="shared" ref="AB5:AB68" si="23">AB4</f>
        <v>6</v>
      </c>
      <c r="AC5" s="1">
        <f t="shared" si="10"/>
        <v>-3.9298524404919064</v>
      </c>
      <c r="AD5" s="1">
        <f t="shared" si="11"/>
        <v>-44.918418936956805</v>
      </c>
      <c r="AE5">
        <v>5</v>
      </c>
      <c r="AF5" s="1">
        <f>AF$4+VLOOKUP(Lanes!AG5,Data,5,FALSE)*(AE5/180)</f>
        <v>80.948763175512809</v>
      </c>
      <c r="AG5">
        <f t="shared" ref="AG5:AG68" si="24">AG4</f>
        <v>7</v>
      </c>
      <c r="AH5" s="1">
        <f t="shared" si="12"/>
        <v>-4.0361824466440437</v>
      </c>
      <c r="AI5" s="1">
        <f t="shared" si="13"/>
        <v>-46.133776468628731</v>
      </c>
      <c r="AJ5">
        <v>5</v>
      </c>
      <c r="AK5" s="1">
        <f>AK$4+VLOOKUP(Lanes!AL5,Data,5,FALSE)*(AJ5/180)</f>
        <v>81.055228259884473</v>
      </c>
      <c r="AL5">
        <f t="shared" ref="AL5:AL68" si="25">AL4</f>
        <v>8</v>
      </c>
      <c r="AM5" s="1">
        <f t="shared" si="14"/>
        <v>-4.142512452796197</v>
      </c>
      <c r="AN5" s="1">
        <f t="shared" si="15"/>
        <v>-47.349134000300658</v>
      </c>
      <c r="AO5">
        <v>5</v>
      </c>
      <c r="AP5" s="1">
        <f>AP$4+VLOOKUP(Lanes!AQ5,Data,5,FALSE)*(AO5/180)</f>
        <v>81.161693344256122</v>
      </c>
      <c r="AQ5">
        <f t="shared" ref="AQ5:AQ68" si="26">AQ4</f>
        <v>9</v>
      </c>
      <c r="AR5" s="1">
        <f t="shared" si="16"/>
        <v>-4.2488424589483351</v>
      </c>
      <c r="AS5" s="1">
        <f t="shared" si="17"/>
        <v>-48.564491531972585</v>
      </c>
      <c r="AX5" t="s">
        <v>59</v>
      </c>
    </row>
    <row r="6" spans="1:51" x14ac:dyDescent="0.2">
      <c r="A6">
        <v>10</v>
      </c>
      <c r="B6" s="1">
        <f>B$4+VLOOKUP(Lanes!C6,Data,5,FALSE)*(A6/180)</f>
        <v>83.729945338565784</v>
      </c>
      <c r="C6">
        <f t="shared" si="18"/>
        <v>1</v>
      </c>
      <c r="D6" s="1">
        <f t="shared" si="0"/>
        <v>-6.7705424472336206</v>
      </c>
      <c r="E6" s="1">
        <f t="shared" si="1"/>
        <v>-38.39765428994599</v>
      </c>
      <c r="F6">
        <v>10</v>
      </c>
      <c r="G6" s="1">
        <f>G$4+VLOOKUP(Lanes!H6,Data,5,FALSE)*(F6/180)</f>
        <v>83.942875507309083</v>
      </c>
      <c r="H6">
        <f t="shared" si="19"/>
        <v>2</v>
      </c>
      <c r="I6" s="1">
        <f t="shared" si="2"/>
        <v>-6.9823932239872653</v>
      </c>
      <c r="J6" s="1">
        <f t="shared" si="3"/>
        <v>-39.599119748620886</v>
      </c>
      <c r="K6">
        <v>10</v>
      </c>
      <c r="L6" s="1">
        <f>L$4+VLOOKUP(Lanes!M6,Data,5,FALSE)*(K6/180)</f>
        <v>84.155805676052395</v>
      </c>
      <c r="M6">
        <f t="shared" si="20"/>
        <v>3</v>
      </c>
      <c r="N6" s="1">
        <f t="shared" si="4"/>
        <v>-7.1942440007409232</v>
      </c>
      <c r="O6" s="1">
        <f t="shared" si="5"/>
        <v>-40.800585207295775</v>
      </c>
      <c r="P6">
        <v>10</v>
      </c>
      <c r="Q6" s="1">
        <f>Q$4+VLOOKUP(Lanes!R6,Data,5,FALSE)*(P6/180)</f>
        <v>84.368735844795708</v>
      </c>
      <c r="R6">
        <f t="shared" si="21"/>
        <v>4</v>
      </c>
      <c r="S6" s="1">
        <f t="shared" si="6"/>
        <v>-7.4060947774945847</v>
      </c>
      <c r="T6" s="1">
        <f t="shared" si="7"/>
        <v>-42.002050665970671</v>
      </c>
      <c r="U6">
        <v>10</v>
      </c>
      <c r="V6" s="1">
        <f>V$4+VLOOKUP(Lanes!W6,Data,5,FALSE)*(U6/180)</f>
        <v>84.581666013539007</v>
      </c>
      <c r="W6">
        <f t="shared" si="22"/>
        <v>5</v>
      </c>
      <c r="X6" s="1">
        <f t="shared" si="8"/>
        <v>-7.6179455542482293</v>
      </c>
      <c r="Y6" s="1">
        <f t="shared" si="9"/>
        <v>-43.20351612464556</v>
      </c>
      <c r="Z6">
        <v>10</v>
      </c>
      <c r="AA6" s="1">
        <f>AA$4+VLOOKUP(Lanes!AB6,Data,5,FALSE)*(Z6/180)</f>
        <v>84.794596182282319</v>
      </c>
      <c r="AB6">
        <f t="shared" si="23"/>
        <v>6</v>
      </c>
      <c r="AC6" s="1">
        <f t="shared" si="10"/>
        <v>-7.8297963310018881</v>
      </c>
      <c r="AD6" s="1">
        <f t="shared" si="11"/>
        <v>-44.404981583320456</v>
      </c>
      <c r="AE6">
        <v>10</v>
      </c>
      <c r="AF6" s="1">
        <f>AF$4+VLOOKUP(Lanes!AG6,Data,5,FALSE)*(AE6/180)</f>
        <v>85.007526351025632</v>
      </c>
      <c r="AG6">
        <f t="shared" si="24"/>
        <v>7</v>
      </c>
      <c r="AH6" s="1">
        <f t="shared" si="12"/>
        <v>-8.0416471077555478</v>
      </c>
      <c r="AI6" s="1">
        <f t="shared" si="13"/>
        <v>-45.606447041995345</v>
      </c>
      <c r="AJ6">
        <v>10</v>
      </c>
      <c r="AK6" s="1">
        <f>AK$4+VLOOKUP(Lanes!AL6,Data,5,FALSE)*(AJ6/180)</f>
        <v>85.220456519768931</v>
      </c>
      <c r="AL6">
        <f t="shared" si="25"/>
        <v>8</v>
      </c>
      <c r="AM6" s="1">
        <f t="shared" si="14"/>
        <v>-8.2534978845091942</v>
      </c>
      <c r="AN6" s="1">
        <f t="shared" si="15"/>
        <v>-46.807912500670241</v>
      </c>
      <c r="AO6">
        <v>10</v>
      </c>
      <c r="AP6" s="1">
        <f>AP$4+VLOOKUP(Lanes!AQ6,Data,5,FALSE)*(AO6/180)</f>
        <v>85.433386688512243</v>
      </c>
      <c r="AQ6">
        <f t="shared" si="26"/>
        <v>9</v>
      </c>
      <c r="AR6" s="1">
        <f t="shared" si="16"/>
        <v>-8.465348661262853</v>
      </c>
      <c r="AS6" s="1">
        <f t="shared" si="17"/>
        <v>-48.009377959345137</v>
      </c>
      <c r="AX6" s="3" t="s">
        <v>0</v>
      </c>
      <c r="AY6" s="3" t="s">
        <v>1</v>
      </c>
    </row>
    <row r="7" spans="1:51" x14ac:dyDescent="0.2">
      <c r="A7">
        <v>15</v>
      </c>
      <c r="B7" s="1">
        <f>B$4+VLOOKUP(Lanes!C7,Data,5,FALSE)*(A7/180)</f>
        <v>87.149918007848669</v>
      </c>
      <c r="C7">
        <f t="shared" si="18"/>
        <v>1</v>
      </c>
      <c r="D7" s="1">
        <f t="shared" si="0"/>
        <v>-10.091354568547287</v>
      </c>
      <c r="E7" s="1">
        <f t="shared" si="1"/>
        <v>-37.661447967010773</v>
      </c>
      <c r="F7">
        <v>15</v>
      </c>
      <c r="G7" s="1">
        <f>G$4+VLOOKUP(Lanes!H7,Data,5,FALSE)*(F7/180)</f>
        <v>87.469313260963631</v>
      </c>
      <c r="H7">
        <f t="shared" si="19"/>
        <v>2</v>
      </c>
      <c r="I7" s="1">
        <f t="shared" si="2"/>
        <v>-10.407113803572361</v>
      </c>
      <c r="J7" s="1">
        <f t="shared" si="3"/>
        <v>-38.839877475083441</v>
      </c>
      <c r="K7">
        <v>15</v>
      </c>
      <c r="L7" s="1">
        <f>L$4+VLOOKUP(Lanes!M7,Data,5,FALSE)*(K7/180)</f>
        <v>87.788708514078593</v>
      </c>
      <c r="M7">
        <f t="shared" si="20"/>
        <v>3</v>
      </c>
      <c r="N7" s="1">
        <f t="shared" si="4"/>
        <v>-10.722873038597434</v>
      </c>
      <c r="O7" s="1">
        <f t="shared" si="5"/>
        <v>-40.018306983156101</v>
      </c>
      <c r="P7">
        <v>15</v>
      </c>
      <c r="Q7" s="1">
        <f>Q$4+VLOOKUP(Lanes!R7,Data,5,FALSE)*(P7/180)</f>
        <v>88.108103767193555</v>
      </c>
      <c r="R7">
        <f t="shared" si="21"/>
        <v>4</v>
      </c>
      <c r="S7" s="1">
        <f t="shared" si="6"/>
        <v>-11.038632273622509</v>
      </c>
      <c r="T7" s="1">
        <f t="shared" si="7"/>
        <v>-41.196736491228762</v>
      </c>
      <c r="U7">
        <v>15</v>
      </c>
      <c r="V7" s="1">
        <f>V$4+VLOOKUP(Lanes!W7,Data,5,FALSE)*(U7/180)</f>
        <v>88.427499020308517</v>
      </c>
      <c r="W7">
        <f t="shared" si="22"/>
        <v>5</v>
      </c>
      <c r="X7" s="1">
        <f t="shared" si="8"/>
        <v>-11.354391508647584</v>
      </c>
      <c r="Y7" s="1">
        <f t="shared" si="9"/>
        <v>-42.375165999301423</v>
      </c>
      <c r="Z7">
        <v>15</v>
      </c>
      <c r="AA7" s="1">
        <f>AA$4+VLOOKUP(Lanes!AB7,Data,5,FALSE)*(Z7/180)</f>
        <v>88.746894273423479</v>
      </c>
      <c r="AB7">
        <f t="shared" si="23"/>
        <v>6</v>
      </c>
      <c r="AC7" s="1">
        <f t="shared" si="10"/>
        <v>-11.670150743672659</v>
      </c>
      <c r="AD7" s="1">
        <f t="shared" si="11"/>
        <v>-43.553595507374084</v>
      </c>
      <c r="AE7">
        <v>15</v>
      </c>
      <c r="AF7" s="1">
        <f>AF$4+VLOOKUP(Lanes!AG7,Data,5,FALSE)*(AE7/180)</f>
        <v>89.066289526538441</v>
      </c>
      <c r="AG7">
        <f t="shared" si="24"/>
        <v>7</v>
      </c>
      <c r="AH7" s="1">
        <f t="shared" si="12"/>
        <v>-11.985909978697734</v>
      </c>
      <c r="AI7" s="1">
        <f t="shared" si="13"/>
        <v>-44.732025015446752</v>
      </c>
      <c r="AJ7">
        <v>15</v>
      </c>
      <c r="AK7" s="1">
        <f>AK$4+VLOOKUP(Lanes!AL7,Data,5,FALSE)*(AJ7/180)</f>
        <v>89.385684779653403</v>
      </c>
      <c r="AL7">
        <f t="shared" si="25"/>
        <v>8</v>
      </c>
      <c r="AM7" s="1">
        <f t="shared" si="14"/>
        <v>-12.301669213722809</v>
      </c>
      <c r="AN7" s="1">
        <f t="shared" si="15"/>
        <v>-45.910454523519412</v>
      </c>
      <c r="AO7">
        <v>15</v>
      </c>
      <c r="AP7" s="1">
        <f>AP$4+VLOOKUP(Lanes!AQ7,Data,5,FALSE)*(AO7/180)</f>
        <v>89.705080032768365</v>
      </c>
      <c r="AQ7">
        <f t="shared" si="26"/>
        <v>9</v>
      </c>
      <c r="AR7" s="1">
        <f t="shared" si="16"/>
        <v>-12.617428448747884</v>
      </c>
      <c r="AS7" s="1">
        <f t="shared" si="17"/>
        <v>-47.088884031592073</v>
      </c>
      <c r="AX7">
        <v>-23.11</v>
      </c>
      <c r="AY7">
        <f>-Radius</f>
        <v>-38.99</v>
      </c>
    </row>
    <row r="8" spans="1:51" x14ac:dyDescent="0.2">
      <c r="A8">
        <v>20</v>
      </c>
      <c r="B8" s="1">
        <f>B$4+VLOOKUP(Lanes!C8,Data,5,FALSE)*(A8/180)</f>
        <v>90.569890677131554</v>
      </c>
      <c r="C8">
        <f t="shared" si="18"/>
        <v>1</v>
      </c>
      <c r="D8" s="1">
        <f t="shared" si="0"/>
        <v>-13.335365388267821</v>
      </c>
      <c r="E8" s="1">
        <f t="shared" si="1"/>
        <v>-36.638615284442572</v>
      </c>
      <c r="F8">
        <v>20</v>
      </c>
      <c r="G8" s="1">
        <f>G$4+VLOOKUP(Lanes!H8,Data,5,FALSE)*(F8/180)</f>
        <v>90.995751014618179</v>
      </c>
      <c r="H8">
        <f t="shared" si="19"/>
        <v>2</v>
      </c>
      <c r="I8" s="1">
        <f t="shared" si="2"/>
        <v>-13.752629963125143</v>
      </c>
      <c r="J8" s="1">
        <f t="shared" si="3"/>
        <v>-37.785040281801372</v>
      </c>
      <c r="K8">
        <v>20</v>
      </c>
      <c r="L8" s="1">
        <f>L$4+VLOOKUP(Lanes!M8,Data,5,FALSE)*(K8/180)</f>
        <v>91.42161135210479</v>
      </c>
      <c r="M8">
        <f t="shared" si="20"/>
        <v>3</v>
      </c>
      <c r="N8" s="1">
        <f t="shared" si="4"/>
        <v>-14.169894537982454</v>
      </c>
      <c r="O8" s="1">
        <f t="shared" si="5"/>
        <v>-38.931465279160186</v>
      </c>
      <c r="P8">
        <v>20</v>
      </c>
      <c r="Q8" s="1">
        <f>Q$4+VLOOKUP(Lanes!R8,Data,5,FALSE)*(P8/180)</f>
        <v>91.847471689591401</v>
      </c>
      <c r="R8">
        <f t="shared" si="21"/>
        <v>4</v>
      </c>
      <c r="S8" s="1">
        <f t="shared" si="6"/>
        <v>-14.587159112839766</v>
      </c>
      <c r="T8" s="1">
        <f t="shared" si="7"/>
        <v>-40.077890276518993</v>
      </c>
      <c r="U8">
        <v>20</v>
      </c>
      <c r="V8" s="1">
        <f>V$4+VLOOKUP(Lanes!W8,Data,5,FALSE)*(U8/180)</f>
        <v>92.273332027078027</v>
      </c>
      <c r="W8">
        <f t="shared" si="22"/>
        <v>5</v>
      </c>
      <c r="X8" s="1">
        <f t="shared" si="8"/>
        <v>-15.00442368769709</v>
      </c>
      <c r="Y8" s="1">
        <f t="shared" si="9"/>
        <v>-41.224315273877792</v>
      </c>
      <c r="Z8">
        <v>20</v>
      </c>
      <c r="AA8" s="1">
        <f>AA$4+VLOOKUP(Lanes!AB8,Data,5,FALSE)*(Z8/180)</f>
        <v>92.699192364564638</v>
      </c>
      <c r="AB8">
        <f t="shared" si="23"/>
        <v>6</v>
      </c>
      <c r="AC8" s="1">
        <f t="shared" si="10"/>
        <v>-15.421688262554401</v>
      </c>
      <c r="AD8" s="1">
        <f t="shared" si="11"/>
        <v>-42.370740271236606</v>
      </c>
      <c r="AE8">
        <v>20</v>
      </c>
      <c r="AF8" s="1">
        <f>AF$4+VLOOKUP(Lanes!AG8,Data,5,FALSE)*(AE8/180)</f>
        <v>93.125052702051249</v>
      </c>
      <c r="AG8">
        <f t="shared" si="24"/>
        <v>7</v>
      </c>
      <c r="AH8" s="1">
        <f t="shared" si="12"/>
        <v>-15.838952837411711</v>
      </c>
      <c r="AI8" s="1">
        <f t="shared" si="13"/>
        <v>-43.517165268595413</v>
      </c>
      <c r="AJ8">
        <v>20</v>
      </c>
      <c r="AK8" s="1">
        <f>AK$4+VLOOKUP(Lanes!AL8,Data,5,FALSE)*(AJ8/180)</f>
        <v>93.550913039537875</v>
      </c>
      <c r="AL8">
        <f t="shared" si="25"/>
        <v>8</v>
      </c>
      <c r="AM8" s="1">
        <f t="shared" si="14"/>
        <v>-16.256217412269038</v>
      </c>
      <c r="AN8" s="1">
        <f t="shared" si="15"/>
        <v>-44.66359026595422</v>
      </c>
      <c r="AO8">
        <v>20</v>
      </c>
      <c r="AP8" s="1">
        <f>AP$4+VLOOKUP(Lanes!AQ8,Data,5,FALSE)*(AO8/180)</f>
        <v>93.976773377024486</v>
      </c>
      <c r="AQ8">
        <f t="shared" si="26"/>
        <v>9</v>
      </c>
      <c r="AR8" s="1">
        <f t="shared" si="16"/>
        <v>-16.673481987126348</v>
      </c>
      <c r="AS8" s="1">
        <f t="shared" si="17"/>
        <v>-45.810015263313026</v>
      </c>
      <c r="AX8">
        <v>0</v>
      </c>
      <c r="AY8">
        <f>-Radius</f>
        <v>-38.99</v>
      </c>
    </row>
    <row r="9" spans="1:51" x14ac:dyDescent="0.2">
      <c r="A9">
        <v>25</v>
      </c>
      <c r="B9" s="1">
        <f>B$4+VLOOKUP(Lanes!C9,Data,5,FALSE)*(A9/180)</f>
        <v>93.989863346414438</v>
      </c>
      <c r="C9">
        <f t="shared" si="18"/>
        <v>1</v>
      </c>
      <c r="D9" s="1">
        <f t="shared" si="0"/>
        <v>-16.477886025269868</v>
      </c>
      <c r="E9" s="1">
        <f t="shared" si="1"/>
        <v>-35.336940616558984</v>
      </c>
      <c r="F9">
        <v>25</v>
      </c>
      <c r="G9" s="1">
        <f>G$4+VLOOKUP(Lanes!H9,Data,5,FALSE)*(F9/180)</f>
        <v>94.522188768272713</v>
      </c>
      <c r="H9">
        <f t="shared" si="19"/>
        <v>2</v>
      </c>
      <c r="I9" s="1">
        <f t="shared" si="2"/>
        <v>-16.993480304593522</v>
      </c>
      <c r="J9" s="1">
        <f t="shared" si="3"/>
        <v>-36.442636116743692</v>
      </c>
      <c r="K9">
        <v>25</v>
      </c>
      <c r="L9" s="1">
        <f>L$4+VLOOKUP(Lanes!M9,Data,5,FALSE)*(K9/180)</f>
        <v>95.054514190130988</v>
      </c>
      <c r="M9">
        <f t="shared" si="20"/>
        <v>3</v>
      </c>
      <c r="N9" s="1">
        <f t="shared" si="4"/>
        <v>-17.509074583917176</v>
      </c>
      <c r="O9" s="1">
        <f t="shared" si="5"/>
        <v>-37.548331616928408</v>
      </c>
      <c r="P9">
        <v>25</v>
      </c>
      <c r="Q9" s="1">
        <f>Q$4+VLOOKUP(Lanes!R9,Data,5,FALSE)*(P9/180)</f>
        <v>95.586839611989262</v>
      </c>
      <c r="R9">
        <f t="shared" si="21"/>
        <v>4</v>
      </c>
      <c r="S9" s="1">
        <f t="shared" si="6"/>
        <v>-18.024668863240834</v>
      </c>
      <c r="T9" s="1">
        <f t="shared" si="7"/>
        <v>-38.654027117113117</v>
      </c>
      <c r="U9">
        <v>25</v>
      </c>
      <c r="V9" s="1">
        <f>V$4+VLOOKUP(Lanes!W9,Data,5,FALSE)*(U9/180)</f>
        <v>96.119165033847537</v>
      </c>
      <c r="W9">
        <f t="shared" si="22"/>
        <v>5</v>
      </c>
      <c r="X9" s="1">
        <f t="shared" si="8"/>
        <v>-18.540263142564488</v>
      </c>
      <c r="Y9" s="1">
        <f t="shared" si="9"/>
        <v>-39.759722617297832</v>
      </c>
      <c r="Z9">
        <v>25</v>
      </c>
      <c r="AA9" s="1">
        <f>AA$4+VLOOKUP(Lanes!AB9,Data,5,FALSE)*(Z9/180)</f>
        <v>96.651490455705797</v>
      </c>
      <c r="AB9">
        <f t="shared" si="23"/>
        <v>6</v>
      </c>
      <c r="AC9" s="1">
        <f t="shared" si="10"/>
        <v>-19.055857421888135</v>
      </c>
      <c r="AD9" s="1">
        <f t="shared" si="11"/>
        <v>-40.865418117482541</v>
      </c>
      <c r="AE9">
        <v>25</v>
      </c>
      <c r="AF9" s="1">
        <f>AF$4+VLOOKUP(Lanes!AG9,Data,5,FALSE)*(AE9/180)</f>
        <v>97.183815877564072</v>
      </c>
      <c r="AG9">
        <f t="shared" si="24"/>
        <v>7</v>
      </c>
      <c r="AH9" s="1">
        <f t="shared" si="12"/>
        <v>-19.571451701211796</v>
      </c>
      <c r="AI9" s="1">
        <f t="shared" si="13"/>
        <v>-41.971113617667257</v>
      </c>
      <c r="AJ9">
        <v>25</v>
      </c>
      <c r="AK9" s="1">
        <f>AK$4+VLOOKUP(Lanes!AL9,Data,5,FALSE)*(AJ9/180)</f>
        <v>97.716141299422333</v>
      </c>
      <c r="AL9">
        <f t="shared" si="25"/>
        <v>8</v>
      </c>
      <c r="AM9" s="1">
        <f t="shared" si="14"/>
        <v>-20.087045980535439</v>
      </c>
      <c r="AN9" s="1">
        <f t="shared" si="15"/>
        <v>-43.076809117851965</v>
      </c>
      <c r="AO9">
        <v>25</v>
      </c>
      <c r="AP9" s="1">
        <f>AP$4+VLOOKUP(Lanes!AQ9,Data,5,FALSE)*(AO9/180)</f>
        <v>98.248466721280607</v>
      </c>
      <c r="AQ9">
        <f t="shared" si="26"/>
        <v>9</v>
      </c>
      <c r="AR9" s="1">
        <f t="shared" si="16"/>
        <v>-20.602640259859093</v>
      </c>
      <c r="AS9" s="1">
        <f t="shared" si="17"/>
        <v>-44.182504618036681</v>
      </c>
      <c r="AX9" t="s">
        <v>60</v>
      </c>
    </row>
    <row r="10" spans="1:51" x14ac:dyDescent="0.2">
      <c r="A10">
        <v>30</v>
      </c>
      <c r="B10" s="1">
        <f>B$4+VLOOKUP(Lanes!C10,Data,5,FALSE)*(A10/180)</f>
        <v>97.409836015697337</v>
      </c>
      <c r="C10">
        <f t="shared" si="18"/>
        <v>1</v>
      </c>
      <c r="D10" s="1">
        <f t="shared" si="0"/>
        <v>-19.495000000000001</v>
      </c>
      <c r="E10" s="1">
        <f t="shared" si="1"/>
        <v>-33.766330493555266</v>
      </c>
      <c r="F10">
        <v>30</v>
      </c>
      <c r="G10" s="1">
        <f>G$4+VLOOKUP(Lanes!H10,Data,5,FALSE)*(F10/180)</f>
        <v>98.048626521927261</v>
      </c>
      <c r="H10">
        <f t="shared" si="19"/>
        <v>2</v>
      </c>
      <c r="I10" s="1">
        <f t="shared" si="2"/>
        <v>-20.105</v>
      </c>
      <c r="J10" s="1">
        <f t="shared" si="3"/>
        <v>-34.822881486172278</v>
      </c>
      <c r="K10">
        <v>30</v>
      </c>
      <c r="L10" s="1">
        <f>L$4+VLOOKUP(Lanes!M10,Data,5,FALSE)*(K10/180)</f>
        <v>98.687417028157185</v>
      </c>
      <c r="M10">
        <f t="shared" si="20"/>
        <v>3</v>
      </c>
      <c r="N10" s="1">
        <f t="shared" si="4"/>
        <v>-20.714999999999996</v>
      </c>
      <c r="O10" s="1">
        <f t="shared" si="5"/>
        <v>-35.879432478789298</v>
      </c>
      <c r="P10">
        <v>30</v>
      </c>
      <c r="Q10" s="1">
        <f>Q$4+VLOOKUP(Lanes!R10,Data,5,FALSE)*(P10/180)</f>
        <v>99.326207534387109</v>
      </c>
      <c r="R10">
        <f t="shared" si="21"/>
        <v>4</v>
      </c>
      <c r="S10" s="1">
        <f t="shared" si="6"/>
        <v>-21.324999999999996</v>
      </c>
      <c r="T10" s="1">
        <f t="shared" si="7"/>
        <v>-36.93598347140631</v>
      </c>
      <c r="U10">
        <v>30</v>
      </c>
      <c r="V10" s="1">
        <f>V$4+VLOOKUP(Lanes!W10,Data,5,FALSE)*(U10/180)</f>
        <v>99.964998040617033</v>
      </c>
      <c r="W10">
        <f t="shared" si="22"/>
        <v>5</v>
      </c>
      <c r="X10" s="1">
        <f t="shared" si="8"/>
        <v>-21.934999999999995</v>
      </c>
      <c r="Y10" s="1">
        <f t="shared" si="9"/>
        <v>-37.992534464023322</v>
      </c>
      <c r="Z10">
        <v>30</v>
      </c>
      <c r="AA10" s="1">
        <f>AA$4+VLOOKUP(Lanes!AB10,Data,5,FALSE)*(Z10/180)</f>
        <v>100.60378854684696</v>
      </c>
      <c r="AB10">
        <f t="shared" si="23"/>
        <v>6</v>
      </c>
      <c r="AC10" s="1">
        <f t="shared" si="10"/>
        <v>-22.544999999999995</v>
      </c>
      <c r="AD10" s="1">
        <f t="shared" si="11"/>
        <v>-39.049085456640341</v>
      </c>
      <c r="AE10">
        <v>30</v>
      </c>
      <c r="AF10" s="1">
        <f>AF$4+VLOOKUP(Lanes!AG10,Data,5,FALSE)*(AE10/180)</f>
        <v>101.24257905307688</v>
      </c>
      <c r="AG10">
        <f t="shared" si="24"/>
        <v>7</v>
      </c>
      <c r="AH10" s="1">
        <f t="shared" si="12"/>
        <v>-23.154999999999994</v>
      </c>
      <c r="AI10" s="1">
        <f t="shared" si="13"/>
        <v>-40.105636449257354</v>
      </c>
      <c r="AJ10">
        <v>30</v>
      </c>
      <c r="AK10" s="1">
        <f>AK$4+VLOOKUP(Lanes!AL10,Data,5,FALSE)*(AJ10/180)</f>
        <v>101.8813695593068</v>
      </c>
      <c r="AL10">
        <f t="shared" si="25"/>
        <v>8</v>
      </c>
      <c r="AM10" s="1">
        <f t="shared" si="14"/>
        <v>-23.764999999999993</v>
      </c>
      <c r="AN10" s="1">
        <f t="shared" si="15"/>
        <v>-41.162187441874366</v>
      </c>
      <c r="AO10">
        <v>30</v>
      </c>
      <c r="AP10" s="1">
        <f>AP$4+VLOOKUP(Lanes!AQ10,Data,5,FALSE)*(AO10/180)</f>
        <v>102.52016006553673</v>
      </c>
      <c r="AQ10">
        <f t="shared" si="26"/>
        <v>9</v>
      </c>
      <c r="AR10" s="1">
        <f t="shared" si="16"/>
        <v>-24.374999999999993</v>
      </c>
      <c r="AS10" s="1">
        <f t="shared" si="17"/>
        <v>-42.218738434491378</v>
      </c>
      <c r="AX10" s="3" t="s">
        <v>0</v>
      </c>
      <c r="AY10" s="3" t="s">
        <v>1</v>
      </c>
    </row>
    <row r="11" spans="1:51" x14ac:dyDescent="0.2">
      <c r="A11">
        <v>35</v>
      </c>
      <c r="B11" s="1">
        <f>B$4+VLOOKUP(Lanes!C11,Data,5,FALSE)*(A11/180)</f>
        <v>100.82980868498022</v>
      </c>
      <c r="C11">
        <f t="shared" si="18"/>
        <v>1</v>
      </c>
      <c r="D11" s="1">
        <f t="shared" si="0"/>
        <v>-22.363745253327281</v>
      </c>
      <c r="E11" s="1">
        <f t="shared" si="1"/>
        <v>-31.938738206827797</v>
      </c>
      <c r="F11">
        <v>35</v>
      </c>
      <c r="G11" s="1">
        <f>G$4+VLOOKUP(Lanes!H11,Data,5,FALSE)*(F11/180)</f>
        <v>101.57506427558181</v>
      </c>
      <c r="H11">
        <f t="shared" si="19"/>
        <v>2</v>
      </c>
      <c r="I11" s="1">
        <f t="shared" si="2"/>
        <v>-23.063508505675568</v>
      </c>
      <c r="J11" s="1">
        <f t="shared" si="3"/>
        <v>-32.93810370086036</v>
      </c>
      <c r="K11">
        <v>35</v>
      </c>
      <c r="L11" s="1">
        <f>L$4+VLOOKUP(Lanes!M11,Data,5,FALSE)*(K11/180)</f>
        <v>102.32031986618338</v>
      </c>
      <c r="M11">
        <f t="shared" si="20"/>
        <v>3</v>
      </c>
      <c r="N11" s="1">
        <f t="shared" si="4"/>
        <v>-23.763271758023837</v>
      </c>
      <c r="O11" s="1">
        <f t="shared" si="5"/>
        <v>-33.937469194892927</v>
      </c>
      <c r="P11">
        <v>35</v>
      </c>
      <c r="Q11" s="1">
        <f>Q$4+VLOOKUP(Lanes!R11,Data,5,FALSE)*(P11/180)</f>
        <v>103.06557545678496</v>
      </c>
      <c r="R11">
        <f t="shared" si="21"/>
        <v>4</v>
      </c>
      <c r="S11" s="1">
        <f t="shared" si="6"/>
        <v>-24.46303501037211</v>
      </c>
      <c r="T11" s="1">
        <f t="shared" si="7"/>
        <v>-34.936834688925501</v>
      </c>
      <c r="U11">
        <v>35</v>
      </c>
      <c r="V11" s="1">
        <f>V$4+VLOOKUP(Lanes!W11,Data,5,FALSE)*(U11/180)</f>
        <v>103.81083104738654</v>
      </c>
      <c r="W11">
        <f t="shared" si="22"/>
        <v>5</v>
      </c>
      <c r="X11" s="1">
        <f t="shared" si="8"/>
        <v>-25.162798262720393</v>
      </c>
      <c r="Y11" s="1">
        <f t="shared" si="9"/>
        <v>-35.936200182958068</v>
      </c>
      <c r="Z11">
        <v>35</v>
      </c>
      <c r="AA11" s="1">
        <f>AA$4+VLOOKUP(Lanes!AB11,Data,5,FALSE)*(Z11/180)</f>
        <v>104.55608663798812</v>
      </c>
      <c r="AB11">
        <f t="shared" si="23"/>
        <v>6</v>
      </c>
      <c r="AC11" s="1">
        <f t="shared" si="10"/>
        <v>-25.862561515068663</v>
      </c>
      <c r="AD11" s="1">
        <f t="shared" si="11"/>
        <v>-36.935565676990635</v>
      </c>
      <c r="AE11">
        <v>35</v>
      </c>
      <c r="AF11" s="1">
        <f>AF$4+VLOOKUP(Lanes!AG11,Data,5,FALSE)*(AE11/180)</f>
        <v>105.30134222858969</v>
      </c>
      <c r="AG11">
        <f t="shared" si="24"/>
        <v>7</v>
      </c>
      <c r="AH11" s="1">
        <f t="shared" si="12"/>
        <v>-26.562324767416936</v>
      </c>
      <c r="AI11" s="1">
        <f t="shared" si="13"/>
        <v>-37.934931171023209</v>
      </c>
      <c r="AJ11">
        <v>35</v>
      </c>
      <c r="AK11" s="1">
        <f>AK$4+VLOOKUP(Lanes!AL11,Data,5,FALSE)*(AJ11/180)</f>
        <v>106.04659781919128</v>
      </c>
      <c r="AL11">
        <f t="shared" si="25"/>
        <v>8</v>
      </c>
      <c r="AM11" s="1">
        <f t="shared" si="14"/>
        <v>-27.262088019765219</v>
      </c>
      <c r="AN11" s="1">
        <f t="shared" si="15"/>
        <v>-38.934296665055776</v>
      </c>
      <c r="AO11">
        <v>35</v>
      </c>
      <c r="AP11" s="1">
        <f>AP$4+VLOOKUP(Lanes!AQ11,Data,5,FALSE)*(AO11/180)</f>
        <v>106.79185340979285</v>
      </c>
      <c r="AQ11">
        <f t="shared" si="26"/>
        <v>9</v>
      </c>
      <c r="AR11" s="1">
        <f t="shared" si="16"/>
        <v>-27.961851272113492</v>
      </c>
      <c r="AS11" s="1">
        <f t="shared" si="17"/>
        <v>-39.933662159088342</v>
      </c>
      <c r="AX11">
        <v>-23.11</v>
      </c>
      <c r="AY11">
        <f>AY7-1.22</f>
        <v>-40.21</v>
      </c>
    </row>
    <row r="12" spans="1:51" x14ac:dyDescent="0.2">
      <c r="A12">
        <v>40</v>
      </c>
      <c r="B12" s="1">
        <f>B$4+VLOOKUP(Lanes!C12,Data,5,FALSE)*(A12/180)</f>
        <v>104.24978135426311</v>
      </c>
      <c r="C12">
        <f t="shared" si="18"/>
        <v>1</v>
      </c>
      <c r="D12" s="1">
        <f t="shared" si="0"/>
        <v>-25.062288901678166</v>
      </c>
      <c r="E12" s="1">
        <f t="shared" si="1"/>
        <v>-29.86807283720896</v>
      </c>
      <c r="F12">
        <v>40</v>
      </c>
      <c r="G12" s="1">
        <f>G$4+VLOOKUP(Lanes!H12,Data,5,FALSE)*(F12/180)</f>
        <v>105.10150202923634</v>
      </c>
      <c r="H12">
        <f t="shared" si="19"/>
        <v>2</v>
      </c>
      <c r="I12" s="1">
        <f t="shared" si="2"/>
        <v>-25.846489785495745</v>
      </c>
      <c r="J12" s="1">
        <f t="shared" si="3"/>
        <v>-30.802647057814106</v>
      </c>
      <c r="K12">
        <v>40</v>
      </c>
      <c r="L12" s="1">
        <f>L$4+VLOOKUP(Lanes!M12,Data,5,FALSE)*(K12/180)</f>
        <v>105.95322270420958</v>
      </c>
      <c r="M12">
        <f t="shared" si="20"/>
        <v>3</v>
      </c>
      <c r="N12" s="1">
        <f t="shared" si="4"/>
        <v>-26.630690669313321</v>
      </c>
      <c r="O12" s="1">
        <f t="shared" si="5"/>
        <v>-31.737221278419259</v>
      </c>
      <c r="P12">
        <v>40</v>
      </c>
      <c r="Q12" s="1">
        <f>Q$4+VLOOKUP(Lanes!R12,Data,5,FALSE)*(P12/180)</f>
        <v>106.80494337918282</v>
      </c>
      <c r="R12">
        <f t="shared" si="21"/>
        <v>4</v>
      </c>
      <c r="S12" s="1">
        <f t="shared" si="6"/>
        <v>-27.414891553130904</v>
      </c>
      <c r="T12" s="1">
        <f t="shared" si="7"/>
        <v>-32.671795499024412</v>
      </c>
      <c r="U12">
        <v>40</v>
      </c>
      <c r="V12" s="1">
        <f>V$4+VLOOKUP(Lanes!W12,Data,5,FALSE)*(U12/180)</f>
        <v>107.65666405415604</v>
      </c>
      <c r="W12">
        <f t="shared" si="22"/>
        <v>5</v>
      </c>
      <c r="X12" s="1">
        <f t="shared" si="8"/>
        <v>-28.199092436948476</v>
      </c>
      <c r="Y12" s="1">
        <f t="shared" si="9"/>
        <v>-33.606369719629569</v>
      </c>
      <c r="Z12">
        <v>40</v>
      </c>
      <c r="AA12" s="1">
        <f>AA$4+VLOOKUP(Lanes!AB12,Data,5,FALSE)*(Z12/180)</f>
        <v>108.50838472912928</v>
      </c>
      <c r="AB12">
        <f t="shared" si="23"/>
        <v>6</v>
      </c>
      <c r="AC12" s="1">
        <f t="shared" si="10"/>
        <v>-28.983293320766052</v>
      </c>
      <c r="AD12" s="1">
        <f t="shared" si="11"/>
        <v>-34.540943940234719</v>
      </c>
      <c r="AE12">
        <v>40</v>
      </c>
      <c r="AF12" s="1">
        <f>AF$4+VLOOKUP(Lanes!AG12,Data,5,FALSE)*(AE12/180)</f>
        <v>109.36010540410251</v>
      </c>
      <c r="AG12">
        <f t="shared" si="24"/>
        <v>7</v>
      </c>
      <c r="AH12" s="1">
        <f t="shared" si="12"/>
        <v>-29.767494204583635</v>
      </c>
      <c r="AI12" s="1">
        <f t="shared" si="13"/>
        <v>-35.475518160839869</v>
      </c>
      <c r="AJ12">
        <v>40</v>
      </c>
      <c r="AK12" s="1">
        <f>AK$4+VLOOKUP(Lanes!AL12,Data,5,FALSE)*(AJ12/180)</f>
        <v>110.21182607907573</v>
      </c>
      <c r="AL12">
        <f t="shared" si="25"/>
        <v>8</v>
      </c>
      <c r="AM12" s="1">
        <f t="shared" si="14"/>
        <v>-30.551695088401207</v>
      </c>
      <c r="AN12" s="1">
        <f t="shared" si="15"/>
        <v>-36.410092381445025</v>
      </c>
      <c r="AO12">
        <v>40</v>
      </c>
      <c r="AP12" s="1">
        <f>AP$4+VLOOKUP(Lanes!AQ12,Data,5,FALSE)*(AO12/180)</f>
        <v>111.06354675404897</v>
      </c>
      <c r="AQ12">
        <f t="shared" si="26"/>
        <v>9</v>
      </c>
      <c r="AR12" s="1">
        <f t="shared" si="16"/>
        <v>-31.335895972218783</v>
      </c>
      <c r="AS12" s="1">
        <f t="shared" si="17"/>
        <v>-37.344666602050175</v>
      </c>
      <c r="AX12">
        <v>0</v>
      </c>
      <c r="AY12">
        <f>AY8-1.22</f>
        <v>-40.21</v>
      </c>
    </row>
    <row r="13" spans="1:51" x14ac:dyDescent="0.2">
      <c r="A13">
        <v>45</v>
      </c>
      <c r="B13" s="1">
        <f>B$4+VLOOKUP(Lanes!C13,Data,5,FALSE)*(A13/180)</f>
        <v>107.66975402354601</v>
      </c>
      <c r="C13">
        <f t="shared" si="18"/>
        <v>1</v>
      </c>
      <c r="D13" s="1">
        <f t="shared" si="0"/>
        <v>-27.570093398463491</v>
      </c>
      <c r="E13" s="1">
        <f t="shared" si="1"/>
        <v>-27.570093398463488</v>
      </c>
      <c r="F13">
        <v>45</v>
      </c>
      <c r="G13" s="1">
        <f>G$4+VLOOKUP(Lanes!H13,Data,5,FALSE)*(F13/180)</f>
        <v>108.62793978289089</v>
      </c>
      <c r="H13">
        <f t="shared" si="19"/>
        <v>2</v>
      </c>
      <c r="I13" s="1">
        <f t="shared" si="2"/>
        <v>-28.432763671511079</v>
      </c>
      <c r="J13" s="1">
        <f t="shared" si="3"/>
        <v>-28.432763671511076</v>
      </c>
      <c r="K13">
        <v>45</v>
      </c>
      <c r="L13" s="1">
        <f>L$4+VLOOKUP(Lanes!M13,Data,5,FALSE)*(K13/180)</f>
        <v>109.58612554223578</v>
      </c>
      <c r="M13">
        <f t="shared" si="20"/>
        <v>3</v>
      </c>
      <c r="N13" s="1">
        <f t="shared" si="4"/>
        <v>-29.29543394455866</v>
      </c>
      <c r="O13" s="1">
        <f t="shared" si="5"/>
        <v>-29.295433944558667</v>
      </c>
      <c r="P13">
        <v>45</v>
      </c>
      <c r="Q13" s="1">
        <f>Q$4+VLOOKUP(Lanes!R13,Data,5,FALSE)*(P13/180)</f>
        <v>110.54431130158066</v>
      </c>
      <c r="R13">
        <f t="shared" si="21"/>
        <v>4</v>
      </c>
      <c r="S13" s="1">
        <f t="shared" si="6"/>
        <v>-30.158104217606247</v>
      </c>
      <c r="T13" s="1">
        <f t="shared" si="7"/>
        <v>-30.158104217606255</v>
      </c>
      <c r="U13">
        <v>45</v>
      </c>
      <c r="V13" s="1">
        <f>V$4+VLOOKUP(Lanes!W13,Data,5,FALSE)*(U13/180)</f>
        <v>111.50249706092555</v>
      </c>
      <c r="W13">
        <f t="shared" si="22"/>
        <v>5</v>
      </c>
      <c r="X13" s="1">
        <f t="shared" si="8"/>
        <v>-31.020774490653835</v>
      </c>
      <c r="Y13" s="1">
        <f t="shared" si="9"/>
        <v>-31.020774490653839</v>
      </c>
      <c r="Z13">
        <v>45</v>
      </c>
      <c r="AA13" s="1">
        <f>AA$4+VLOOKUP(Lanes!AB13,Data,5,FALSE)*(Z13/180)</f>
        <v>112.46068282027043</v>
      </c>
      <c r="AB13">
        <f t="shared" si="23"/>
        <v>6</v>
      </c>
      <c r="AC13" s="1">
        <f t="shared" si="10"/>
        <v>-31.883444763701423</v>
      </c>
      <c r="AD13" s="1">
        <f t="shared" si="11"/>
        <v>-31.883444763701426</v>
      </c>
      <c r="AE13">
        <v>45</v>
      </c>
      <c r="AF13" s="1">
        <f>AF$4+VLOOKUP(Lanes!AG13,Data,5,FALSE)*(AE13/180)</f>
        <v>113.41886857961532</v>
      </c>
      <c r="AG13">
        <f t="shared" si="24"/>
        <v>7</v>
      </c>
      <c r="AH13" s="1">
        <f t="shared" si="12"/>
        <v>-32.746115036749011</v>
      </c>
      <c r="AI13" s="1">
        <f t="shared" si="13"/>
        <v>-32.746115036749018</v>
      </c>
      <c r="AJ13">
        <v>45</v>
      </c>
      <c r="AK13" s="1">
        <f>AK$4+VLOOKUP(Lanes!AL13,Data,5,FALSE)*(AJ13/180)</f>
        <v>114.37705433896021</v>
      </c>
      <c r="AL13">
        <f t="shared" si="25"/>
        <v>8</v>
      </c>
      <c r="AM13" s="1">
        <f t="shared" si="14"/>
        <v>-33.608785309796595</v>
      </c>
      <c r="AN13" s="1">
        <f t="shared" si="15"/>
        <v>-33.608785309796602</v>
      </c>
      <c r="AO13">
        <v>45</v>
      </c>
      <c r="AP13" s="1">
        <f>AP$4+VLOOKUP(Lanes!AQ13,Data,5,FALSE)*(AO13/180)</f>
        <v>115.33524009830509</v>
      </c>
      <c r="AQ13">
        <f t="shared" si="26"/>
        <v>9</v>
      </c>
      <c r="AR13" s="1">
        <f t="shared" si="16"/>
        <v>-34.471455582844186</v>
      </c>
      <c r="AS13" s="1">
        <f t="shared" si="17"/>
        <v>-34.471455582844186</v>
      </c>
      <c r="AX13" t="s">
        <v>61</v>
      </c>
    </row>
    <row r="14" spans="1:51" x14ac:dyDescent="0.2">
      <c r="A14">
        <v>50</v>
      </c>
      <c r="B14" s="1">
        <f>B$4+VLOOKUP(Lanes!C14,Data,5,FALSE)*(A14/180)</f>
        <v>111.08972669282889</v>
      </c>
      <c r="C14">
        <f t="shared" si="18"/>
        <v>1</v>
      </c>
      <c r="D14" s="1">
        <f t="shared" si="0"/>
        <v>-29.868072837208953</v>
      </c>
      <c r="E14" s="1">
        <f t="shared" si="1"/>
        <v>-25.062288901678173</v>
      </c>
      <c r="F14">
        <v>50</v>
      </c>
      <c r="G14" s="1">
        <f>G$4+VLOOKUP(Lanes!H14,Data,5,FALSE)*(F14/180)</f>
        <v>112.15437753654544</v>
      </c>
      <c r="H14">
        <f t="shared" si="19"/>
        <v>2</v>
      </c>
      <c r="I14" s="1">
        <f t="shared" si="2"/>
        <v>-30.802647057814109</v>
      </c>
      <c r="J14" s="1">
        <f t="shared" si="3"/>
        <v>-25.846489785495738</v>
      </c>
      <c r="K14">
        <v>50</v>
      </c>
      <c r="L14" s="1">
        <f>L$4+VLOOKUP(Lanes!M14,Data,5,FALSE)*(K14/180)</f>
        <v>113.21902838026197</v>
      </c>
      <c r="M14">
        <f t="shared" si="20"/>
        <v>3</v>
      </c>
      <c r="N14" s="1">
        <f t="shared" si="4"/>
        <v>-31.737221278419259</v>
      </c>
      <c r="O14" s="1">
        <f t="shared" si="5"/>
        <v>-26.630690669313324</v>
      </c>
      <c r="P14">
        <v>50</v>
      </c>
      <c r="Q14" s="1">
        <f>Q$4+VLOOKUP(Lanes!R14,Data,5,FALSE)*(P14/180)</f>
        <v>114.28367922397851</v>
      </c>
      <c r="R14">
        <f t="shared" si="21"/>
        <v>4</v>
      </c>
      <c r="S14" s="1">
        <f t="shared" si="6"/>
        <v>-32.671795499024412</v>
      </c>
      <c r="T14" s="1">
        <f t="shared" si="7"/>
        <v>-27.414891553130907</v>
      </c>
      <c r="U14">
        <v>50</v>
      </c>
      <c r="V14" s="1">
        <f>V$4+VLOOKUP(Lanes!W14,Data,5,FALSE)*(U14/180)</f>
        <v>115.34833006769506</v>
      </c>
      <c r="W14">
        <f t="shared" si="22"/>
        <v>5</v>
      </c>
      <c r="X14" s="1">
        <f t="shared" si="8"/>
        <v>-33.606369719629562</v>
      </c>
      <c r="Y14" s="1">
        <f t="shared" si="9"/>
        <v>-28.199092436948479</v>
      </c>
      <c r="Z14">
        <v>50</v>
      </c>
      <c r="AA14" s="1">
        <f>AA$4+VLOOKUP(Lanes!AB14,Data,5,FALSE)*(Z14/180)</f>
        <v>116.41298091141159</v>
      </c>
      <c r="AB14">
        <f t="shared" si="23"/>
        <v>6</v>
      </c>
      <c r="AC14" s="1">
        <f t="shared" si="10"/>
        <v>-34.540943940234719</v>
      </c>
      <c r="AD14" s="1">
        <f t="shared" si="11"/>
        <v>-28.983293320766059</v>
      </c>
      <c r="AE14">
        <v>50</v>
      </c>
      <c r="AF14" s="1">
        <f>AF$4+VLOOKUP(Lanes!AG14,Data,5,FALSE)*(AE14/180)</f>
        <v>117.47763175512813</v>
      </c>
      <c r="AG14">
        <f t="shared" si="24"/>
        <v>7</v>
      </c>
      <c r="AH14" s="1">
        <f t="shared" si="12"/>
        <v>-35.475518160839869</v>
      </c>
      <c r="AI14" s="1">
        <f t="shared" si="13"/>
        <v>-29.767494204583642</v>
      </c>
      <c r="AJ14">
        <v>50</v>
      </c>
      <c r="AK14" s="1">
        <f>AK$4+VLOOKUP(Lanes!AL14,Data,5,FALSE)*(AJ14/180)</f>
        <v>118.54228259884468</v>
      </c>
      <c r="AL14">
        <f t="shared" si="25"/>
        <v>8</v>
      </c>
      <c r="AM14" s="1">
        <f t="shared" si="14"/>
        <v>-36.410092381445018</v>
      </c>
      <c r="AN14" s="1">
        <f t="shared" si="15"/>
        <v>-30.55169508840121</v>
      </c>
      <c r="AO14">
        <v>50</v>
      </c>
      <c r="AP14" s="1">
        <f>AP$4+VLOOKUP(Lanes!AQ14,Data,5,FALSE)*(AO14/180)</f>
        <v>119.60693344256121</v>
      </c>
      <c r="AQ14">
        <f t="shared" si="26"/>
        <v>9</v>
      </c>
      <c r="AR14" s="1">
        <f t="shared" si="16"/>
        <v>-37.344666602050175</v>
      </c>
      <c r="AS14" s="1">
        <f t="shared" si="17"/>
        <v>-31.33589597221879</v>
      </c>
      <c r="AX14" s="3" t="s">
        <v>0</v>
      </c>
      <c r="AY14" s="3" t="s">
        <v>1</v>
      </c>
    </row>
    <row r="15" spans="1:51" x14ac:dyDescent="0.2">
      <c r="A15">
        <v>55</v>
      </c>
      <c r="B15" s="1">
        <f>B$4+VLOOKUP(Lanes!C15,Data,5,FALSE)*(A15/180)</f>
        <v>114.50969936211177</v>
      </c>
      <c r="C15">
        <f t="shared" si="18"/>
        <v>1</v>
      </c>
      <c r="D15" s="1">
        <f t="shared" si="0"/>
        <v>-31.938738206827786</v>
      </c>
      <c r="E15" s="1">
        <f t="shared" si="1"/>
        <v>-22.363745253327291</v>
      </c>
      <c r="F15">
        <v>55</v>
      </c>
      <c r="G15" s="1">
        <f>G$4+VLOOKUP(Lanes!H15,Data,5,FALSE)*(F15/180)</f>
        <v>115.68081529019997</v>
      </c>
      <c r="H15">
        <f t="shared" si="19"/>
        <v>2</v>
      </c>
      <c r="I15" s="1">
        <f t="shared" si="2"/>
        <v>-32.93810370086036</v>
      </c>
      <c r="J15" s="1">
        <f t="shared" si="3"/>
        <v>-23.063508505675568</v>
      </c>
      <c r="K15">
        <v>55</v>
      </c>
      <c r="L15" s="1">
        <f>L$4+VLOOKUP(Lanes!M15,Data,5,FALSE)*(K15/180)</f>
        <v>116.85193121828817</v>
      </c>
      <c r="M15">
        <f t="shared" si="20"/>
        <v>3</v>
      </c>
      <c r="N15" s="1">
        <f t="shared" si="4"/>
        <v>-33.937469194892927</v>
      </c>
      <c r="O15" s="1">
        <f t="shared" si="5"/>
        <v>-23.763271758023837</v>
      </c>
      <c r="P15">
        <v>55</v>
      </c>
      <c r="Q15" s="1">
        <f>Q$4+VLOOKUP(Lanes!R15,Data,5,FALSE)*(P15/180)</f>
        <v>118.02304714637637</v>
      </c>
      <c r="R15">
        <f t="shared" si="21"/>
        <v>4</v>
      </c>
      <c r="S15" s="1">
        <f t="shared" si="6"/>
        <v>-34.936834688925501</v>
      </c>
      <c r="T15" s="1">
        <f t="shared" si="7"/>
        <v>-24.463035010372113</v>
      </c>
      <c r="U15">
        <v>55</v>
      </c>
      <c r="V15" s="1">
        <f>V$4+VLOOKUP(Lanes!W15,Data,5,FALSE)*(U15/180)</f>
        <v>119.19416307446457</v>
      </c>
      <c r="W15">
        <f t="shared" si="22"/>
        <v>5</v>
      </c>
      <c r="X15" s="1">
        <f t="shared" si="8"/>
        <v>-35.936200182958075</v>
      </c>
      <c r="Y15" s="1">
        <f t="shared" si="9"/>
        <v>-25.162798262720383</v>
      </c>
      <c r="Z15">
        <v>55</v>
      </c>
      <c r="AA15" s="1">
        <f>AA$4+VLOOKUP(Lanes!AB15,Data,5,FALSE)*(Z15/180)</f>
        <v>120.36527900255275</v>
      </c>
      <c r="AB15">
        <f t="shared" si="23"/>
        <v>6</v>
      </c>
      <c r="AC15" s="1">
        <f t="shared" si="10"/>
        <v>-36.935565676990635</v>
      </c>
      <c r="AD15" s="1">
        <f t="shared" si="11"/>
        <v>-25.862561515068663</v>
      </c>
      <c r="AE15">
        <v>55</v>
      </c>
      <c r="AF15" s="1">
        <f>AF$4+VLOOKUP(Lanes!AG15,Data,5,FALSE)*(AE15/180)</f>
        <v>121.53639493064095</v>
      </c>
      <c r="AG15">
        <f t="shared" si="24"/>
        <v>7</v>
      </c>
      <c r="AH15" s="1">
        <f t="shared" si="12"/>
        <v>-37.934931171023209</v>
      </c>
      <c r="AI15" s="1">
        <f t="shared" si="13"/>
        <v>-26.562324767416939</v>
      </c>
      <c r="AJ15">
        <v>55</v>
      </c>
      <c r="AK15" s="1">
        <f>AK$4+VLOOKUP(Lanes!AL15,Data,5,FALSE)*(AJ15/180)</f>
        <v>122.70751085872914</v>
      </c>
      <c r="AL15">
        <f t="shared" si="25"/>
        <v>8</v>
      </c>
      <c r="AM15" s="1">
        <f t="shared" si="14"/>
        <v>-38.934296665055768</v>
      </c>
      <c r="AN15" s="1">
        <f t="shared" si="15"/>
        <v>-27.262088019765219</v>
      </c>
      <c r="AO15">
        <v>55</v>
      </c>
      <c r="AP15" s="1">
        <f>AP$4+VLOOKUP(Lanes!AQ15,Data,5,FALSE)*(AO15/180)</f>
        <v>123.87862678681734</v>
      </c>
      <c r="AQ15">
        <f t="shared" si="26"/>
        <v>9</v>
      </c>
      <c r="AR15" s="1">
        <f t="shared" si="16"/>
        <v>-39.933662159088342</v>
      </c>
      <c r="AS15" s="1">
        <f t="shared" si="17"/>
        <v>-27.961851272113492</v>
      </c>
      <c r="AX15">
        <v>-23.11</v>
      </c>
      <c r="AY15">
        <f>AY11-1.22</f>
        <v>-41.43</v>
      </c>
    </row>
    <row r="16" spans="1:51" x14ac:dyDescent="0.2">
      <c r="A16">
        <v>60</v>
      </c>
      <c r="B16" s="1">
        <f>B$4+VLOOKUP(Lanes!C16,Data,5,FALSE)*(A16/180)</f>
        <v>117.92967203139466</v>
      </c>
      <c r="C16">
        <f t="shared" si="18"/>
        <v>1</v>
      </c>
      <c r="D16" s="1">
        <f t="shared" si="0"/>
        <v>-33.766330493555259</v>
      </c>
      <c r="E16" s="1">
        <f t="shared" si="1"/>
        <v>-19.495000000000015</v>
      </c>
      <c r="F16">
        <v>60</v>
      </c>
      <c r="G16" s="1">
        <f>G$4+VLOOKUP(Lanes!H16,Data,5,FALSE)*(F16/180)</f>
        <v>119.20725304385451</v>
      </c>
      <c r="H16">
        <f t="shared" si="19"/>
        <v>2</v>
      </c>
      <c r="I16" s="1">
        <f t="shared" si="2"/>
        <v>-34.822881486172271</v>
      </c>
      <c r="J16" s="1">
        <f t="shared" si="3"/>
        <v>-20.105000000000015</v>
      </c>
      <c r="K16">
        <v>60</v>
      </c>
      <c r="L16" s="1">
        <f>L$4+VLOOKUP(Lanes!M16,Data,5,FALSE)*(K16/180)</f>
        <v>120.48483405631437</v>
      </c>
      <c r="M16">
        <f t="shared" si="20"/>
        <v>3</v>
      </c>
      <c r="N16" s="1">
        <f t="shared" si="4"/>
        <v>-35.87943247878929</v>
      </c>
      <c r="O16" s="1">
        <f t="shared" si="5"/>
        <v>-20.715000000000003</v>
      </c>
      <c r="P16">
        <v>60</v>
      </c>
      <c r="Q16" s="1">
        <f>Q$4+VLOOKUP(Lanes!R16,Data,5,FALSE)*(P16/180)</f>
        <v>121.76241506877422</v>
      </c>
      <c r="R16">
        <f t="shared" si="21"/>
        <v>4</v>
      </c>
      <c r="S16" s="1">
        <f t="shared" si="6"/>
        <v>-36.935983471406303</v>
      </c>
      <c r="T16" s="1">
        <f t="shared" si="7"/>
        <v>-21.325000000000003</v>
      </c>
      <c r="U16">
        <v>60</v>
      </c>
      <c r="V16" s="1">
        <f>V$4+VLOOKUP(Lanes!W16,Data,5,FALSE)*(U16/180)</f>
        <v>123.03999608123407</v>
      </c>
      <c r="W16">
        <f t="shared" si="22"/>
        <v>5</v>
      </c>
      <c r="X16" s="1">
        <f t="shared" si="8"/>
        <v>-37.992534464023322</v>
      </c>
      <c r="Y16" s="1">
        <f t="shared" si="9"/>
        <v>-21.935000000000002</v>
      </c>
      <c r="Z16">
        <v>60</v>
      </c>
      <c r="AA16" s="1">
        <f>AA$4+VLOOKUP(Lanes!AB16,Data,5,FALSE)*(Z16/180)</f>
        <v>124.31757709369391</v>
      </c>
      <c r="AB16">
        <f t="shared" si="23"/>
        <v>6</v>
      </c>
      <c r="AC16" s="1">
        <f t="shared" si="10"/>
        <v>-39.049085456640334</v>
      </c>
      <c r="AD16" s="1">
        <f t="shared" si="11"/>
        <v>-22.545000000000002</v>
      </c>
      <c r="AE16">
        <v>60</v>
      </c>
      <c r="AF16" s="1">
        <f>AF$4+VLOOKUP(Lanes!AG16,Data,5,FALSE)*(AE16/180)</f>
        <v>125.59515810615376</v>
      </c>
      <c r="AG16">
        <f t="shared" si="24"/>
        <v>7</v>
      </c>
      <c r="AH16" s="1">
        <f t="shared" si="12"/>
        <v>-40.105636449257346</v>
      </c>
      <c r="AI16" s="1">
        <f t="shared" si="13"/>
        <v>-23.155000000000001</v>
      </c>
      <c r="AJ16">
        <v>60</v>
      </c>
      <c r="AK16" s="1">
        <f>AK$4+VLOOKUP(Lanes!AL16,Data,5,FALSE)*(AJ16/180)</f>
        <v>126.87273911861361</v>
      </c>
      <c r="AL16">
        <f t="shared" si="25"/>
        <v>8</v>
      </c>
      <c r="AM16" s="1">
        <f t="shared" si="14"/>
        <v>-41.162187441874359</v>
      </c>
      <c r="AN16" s="1">
        <f t="shared" si="15"/>
        <v>-23.765000000000001</v>
      </c>
      <c r="AO16">
        <v>60</v>
      </c>
      <c r="AP16" s="1">
        <f>AP$4+VLOOKUP(Lanes!AQ16,Data,5,FALSE)*(AO16/180)</f>
        <v>128.15032013107344</v>
      </c>
      <c r="AQ16">
        <f t="shared" si="26"/>
        <v>9</v>
      </c>
      <c r="AR16" s="1">
        <f t="shared" si="16"/>
        <v>-42.218738434491371</v>
      </c>
      <c r="AS16" s="1">
        <f t="shared" si="17"/>
        <v>-24.375000000000014</v>
      </c>
      <c r="AX16">
        <v>0</v>
      </c>
      <c r="AY16">
        <f>AY12-1.22</f>
        <v>-41.43</v>
      </c>
    </row>
    <row r="17" spans="1:51" x14ac:dyDescent="0.2">
      <c r="A17">
        <v>65</v>
      </c>
      <c r="B17" s="1">
        <f>B$4+VLOOKUP(Lanes!C17,Data,5,FALSE)*(A17/180)</f>
        <v>121.34964470067756</v>
      </c>
      <c r="C17">
        <f t="shared" si="18"/>
        <v>1</v>
      </c>
      <c r="D17" s="1">
        <f t="shared" si="0"/>
        <v>-35.336940616558984</v>
      </c>
      <c r="E17" s="1">
        <f t="shared" si="1"/>
        <v>-16.477886025269871</v>
      </c>
      <c r="F17">
        <v>65</v>
      </c>
      <c r="G17" s="1">
        <f>G$4+VLOOKUP(Lanes!H17,Data,5,FALSE)*(F17/180)</f>
        <v>122.73369079750907</v>
      </c>
      <c r="H17">
        <f t="shared" si="19"/>
        <v>2</v>
      </c>
      <c r="I17" s="1">
        <f t="shared" si="2"/>
        <v>-36.442636116743699</v>
      </c>
      <c r="J17" s="1">
        <f t="shared" si="3"/>
        <v>-16.993480304593515</v>
      </c>
      <c r="K17">
        <v>65</v>
      </c>
      <c r="L17" s="1">
        <f>L$4+VLOOKUP(Lanes!M17,Data,5,FALSE)*(K17/180)</f>
        <v>124.11773689434057</v>
      </c>
      <c r="M17">
        <f t="shared" si="20"/>
        <v>3</v>
      </c>
      <c r="N17" s="1">
        <f t="shared" si="4"/>
        <v>-37.548331616928408</v>
      </c>
      <c r="O17" s="1">
        <f t="shared" si="5"/>
        <v>-17.509074583917176</v>
      </c>
      <c r="P17">
        <v>65</v>
      </c>
      <c r="Q17" s="1">
        <f>Q$4+VLOOKUP(Lanes!R17,Data,5,FALSE)*(P17/180)</f>
        <v>125.50178299117206</v>
      </c>
      <c r="R17">
        <f t="shared" si="21"/>
        <v>4</v>
      </c>
      <c r="S17" s="1">
        <f t="shared" si="6"/>
        <v>-38.654027117113117</v>
      </c>
      <c r="T17" s="1">
        <f t="shared" si="7"/>
        <v>-18.024668863240837</v>
      </c>
      <c r="U17">
        <v>65</v>
      </c>
      <c r="V17" s="1">
        <f>V$4+VLOOKUP(Lanes!W17,Data,5,FALSE)*(U17/180)</f>
        <v>126.88582908800356</v>
      </c>
      <c r="W17">
        <f t="shared" si="22"/>
        <v>5</v>
      </c>
      <c r="X17" s="1">
        <f t="shared" si="8"/>
        <v>-39.759722617297825</v>
      </c>
      <c r="Y17" s="1">
        <f t="shared" si="9"/>
        <v>-18.540263142564491</v>
      </c>
      <c r="Z17">
        <v>65</v>
      </c>
      <c r="AA17" s="1">
        <f>AA$4+VLOOKUP(Lanes!AB17,Data,5,FALSE)*(Z17/180)</f>
        <v>128.26987518483509</v>
      </c>
      <c r="AB17">
        <f t="shared" si="23"/>
        <v>6</v>
      </c>
      <c r="AC17" s="1">
        <f t="shared" si="10"/>
        <v>-40.865418117482548</v>
      </c>
      <c r="AD17" s="1">
        <f t="shared" si="11"/>
        <v>-19.055857421888128</v>
      </c>
      <c r="AE17">
        <v>65</v>
      </c>
      <c r="AF17" s="1">
        <f>AF$4+VLOOKUP(Lanes!AG17,Data,5,FALSE)*(AE17/180)</f>
        <v>129.65392128166658</v>
      </c>
      <c r="AG17">
        <f t="shared" si="24"/>
        <v>7</v>
      </c>
      <c r="AH17" s="1">
        <f t="shared" si="12"/>
        <v>-41.971113617667257</v>
      </c>
      <c r="AI17" s="1">
        <f t="shared" si="13"/>
        <v>-19.571451701211778</v>
      </c>
      <c r="AJ17">
        <v>65</v>
      </c>
      <c r="AK17" s="1">
        <f>AK$4+VLOOKUP(Lanes!AL17,Data,5,FALSE)*(AJ17/180)</f>
        <v>131.03796737849808</v>
      </c>
      <c r="AL17">
        <f t="shared" si="25"/>
        <v>8</v>
      </c>
      <c r="AM17" s="1">
        <f t="shared" si="14"/>
        <v>-43.076809117851973</v>
      </c>
      <c r="AN17" s="1">
        <f t="shared" si="15"/>
        <v>-20.087045980535432</v>
      </c>
      <c r="AO17">
        <v>65</v>
      </c>
      <c r="AP17" s="1">
        <f>AP$4+VLOOKUP(Lanes!AQ17,Data,5,FALSE)*(AO17/180)</f>
        <v>132.42201347532958</v>
      </c>
      <c r="AQ17">
        <f t="shared" si="26"/>
        <v>9</v>
      </c>
      <c r="AR17" s="1">
        <f t="shared" si="16"/>
        <v>-44.182504618036681</v>
      </c>
      <c r="AS17" s="1">
        <f t="shared" si="17"/>
        <v>-20.602640259859093</v>
      </c>
      <c r="AX17" t="s">
        <v>62</v>
      </c>
    </row>
    <row r="18" spans="1:51" x14ac:dyDescent="0.2">
      <c r="A18">
        <v>70</v>
      </c>
      <c r="B18" s="1">
        <f>B$4+VLOOKUP(Lanes!C18,Data,5,FALSE)*(A18/180)</f>
        <v>124.76961736996046</v>
      </c>
      <c r="C18">
        <f t="shared" si="18"/>
        <v>1</v>
      </c>
      <c r="D18" s="1">
        <f t="shared" si="0"/>
        <v>-36.638615284442572</v>
      </c>
      <c r="E18" s="1">
        <f t="shared" si="1"/>
        <v>-13.335365388267819</v>
      </c>
      <c r="F18">
        <v>70</v>
      </c>
      <c r="G18" s="1">
        <f>G$4+VLOOKUP(Lanes!H18,Data,5,FALSE)*(F18/180)</f>
        <v>126.2601285511636</v>
      </c>
      <c r="H18">
        <f t="shared" si="19"/>
        <v>2</v>
      </c>
      <c r="I18" s="1">
        <f t="shared" si="2"/>
        <v>-37.785040281801372</v>
      </c>
      <c r="J18" s="1">
        <f t="shared" si="3"/>
        <v>-13.752629963125143</v>
      </c>
      <c r="K18">
        <v>70</v>
      </c>
      <c r="L18" s="1">
        <f>L$4+VLOOKUP(Lanes!M18,Data,5,FALSE)*(K18/180)</f>
        <v>127.75063973236676</v>
      </c>
      <c r="M18">
        <f t="shared" si="20"/>
        <v>3</v>
      </c>
      <c r="N18" s="1">
        <f t="shared" si="4"/>
        <v>-38.931465279160179</v>
      </c>
      <c r="O18" s="1">
        <f t="shared" si="5"/>
        <v>-14.16989453798246</v>
      </c>
      <c r="P18">
        <v>70</v>
      </c>
      <c r="Q18" s="1">
        <f>Q$4+VLOOKUP(Lanes!R18,Data,5,FALSE)*(P18/180)</f>
        <v>129.24115091356992</v>
      </c>
      <c r="R18">
        <f t="shared" si="21"/>
        <v>4</v>
      </c>
      <c r="S18" s="1">
        <f t="shared" si="6"/>
        <v>-40.077890276518993</v>
      </c>
      <c r="T18" s="1">
        <f t="shared" si="7"/>
        <v>-14.587159112839766</v>
      </c>
      <c r="U18">
        <v>70</v>
      </c>
      <c r="V18" s="1">
        <f>V$4+VLOOKUP(Lanes!W18,Data,5,FALSE)*(U18/180)</f>
        <v>130.73166209477307</v>
      </c>
      <c r="W18">
        <f t="shared" si="22"/>
        <v>5</v>
      </c>
      <c r="X18" s="1">
        <f t="shared" si="8"/>
        <v>-41.224315273877792</v>
      </c>
      <c r="Y18" s="1">
        <f t="shared" si="9"/>
        <v>-15.0044236876971</v>
      </c>
      <c r="Z18">
        <v>70</v>
      </c>
      <c r="AA18" s="1">
        <f>AA$4+VLOOKUP(Lanes!AB18,Data,5,FALSE)*(Z18/180)</f>
        <v>132.22217327597622</v>
      </c>
      <c r="AB18">
        <f t="shared" si="23"/>
        <v>6</v>
      </c>
      <c r="AC18" s="1">
        <f t="shared" si="10"/>
        <v>-42.370740271236599</v>
      </c>
      <c r="AD18" s="1">
        <f t="shared" si="11"/>
        <v>-15.421688262554415</v>
      </c>
      <c r="AE18">
        <v>70</v>
      </c>
      <c r="AF18" s="1">
        <f>AF$4+VLOOKUP(Lanes!AG18,Data,5,FALSE)*(AE18/180)</f>
        <v>133.71268445717939</v>
      </c>
      <c r="AG18">
        <f t="shared" si="24"/>
        <v>7</v>
      </c>
      <c r="AH18" s="1">
        <f t="shared" si="12"/>
        <v>-43.517165268595413</v>
      </c>
      <c r="AI18" s="1">
        <f t="shared" si="13"/>
        <v>-15.838952837411721</v>
      </c>
      <c r="AJ18">
        <v>70</v>
      </c>
      <c r="AK18" s="1">
        <f>AK$4+VLOOKUP(Lanes!AL18,Data,5,FALSE)*(AJ18/180)</f>
        <v>135.20319563838254</v>
      </c>
      <c r="AL18">
        <f t="shared" si="25"/>
        <v>8</v>
      </c>
      <c r="AM18" s="1">
        <f t="shared" si="14"/>
        <v>-44.66359026595422</v>
      </c>
      <c r="AN18" s="1">
        <f t="shared" si="15"/>
        <v>-16.256217412269049</v>
      </c>
      <c r="AO18">
        <v>70</v>
      </c>
      <c r="AP18" s="1">
        <f>AP$4+VLOOKUP(Lanes!AQ18,Data,5,FALSE)*(AO18/180)</f>
        <v>136.69370681958571</v>
      </c>
      <c r="AQ18">
        <f t="shared" si="26"/>
        <v>9</v>
      </c>
      <c r="AR18" s="1">
        <f t="shared" si="16"/>
        <v>-45.810015263313026</v>
      </c>
      <c r="AS18" s="1">
        <f t="shared" si="17"/>
        <v>-16.67348198712634</v>
      </c>
      <c r="AX18" s="3" t="s">
        <v>0</v>
      </c>
      <c r="AY18" s="3" t="s">
        <v>1</v>
      </c>
    </row>
    <row r="19" spans="1:51" x14ac:dyDescent="0.2">
      <c r="A19">
        <v>75</v>
      </c>
      <c r="B19" s="1">
        <f>B$4+VLOOKUP(Lanes!C19,Data,5,FALSE)*(A19/180)</f>
        <v>128.18959003924334</v>
      </c>
      <c r="C19">
        <f t="shared" si="18"/>
        <v>1</v>
      </c>
      <c r="D19" s="1">
        <f t="shared" si="0"/>
        <v>-37.661447967010773</v>
      </c>
      <c r="E19" s="1">
        <f t="shared" si="1"/>
        <v>-10.091354568547276</v>
      </c>
      <c r="F19">
        <v>75</v>
      </c>
      <c r="G19" s="1">
        <f>G$4+VLOOKUP(Lanes!H19,Data,5,FALSE)*(F19/180)</f>
        <v>129.78656630481814</v>
      </c>
      <c r="H19">
        <f t="shared" si="19"/>
        <v>2</v>
      </c>
      <c r="I19" s="1">
        <f t="shared" si="2"/>
        <v>-38.839877475083433</v>
      </c>
      <c r="J19" s="1">
        <f t="shared" si="3"/>
        <v>-10.407113803572368</v>
      </c>
      <c r="K19">
        <v>75</v>
      </c>
      <c r="L19" s="1">
        <f>L$4+VLOOKUP(Lanes!M19,Data,5,FALSE)*(K19/180)</f>
        <v>131.38354257039296</v>
      </c>
      <c r="M19">
        <f t="shared" si="20"/>
        <v>3</v>
      </c>
      <c r="N19" s="1">
        <f t="shared" si="4"/>
        <v>-40.018306983156101</v>
      </c>
      <c r="O19" s="1">
        <f t="shared" si="5"/>
        <v>-10.722873038597434</v>
      </c>
      <c r="P19">
        <v>75</v>
      </c>
      <c r="Q19" s="1">
        <f>Q$4+VLOOKUP(Lanes!R19,Data,5,FALSE)*(P19/180)</f>
        <v>132.98051883596776</v>
      </c>
      <c r="R19">
        <f t="shared" si="21"/>
        <v>4</v>
      </c>
      <c r="S19" s="1">
        <f t="shared" si="6"/>
        <v>-41.196736491228755</v>
      </c>
      <c r="T19" s="1">
        <f t="shared" si="7"/>
        <v>-11.038632273622518</v>
      </c>
      <c r="U19">
        <v>75</v>
      </c>
      <c r="V19" s="1">
        <f>V$4+VLOOKUP(Lanes!W19,Data,5,FALSE)*(U19/180)</f>
        <v>134.57749510154258</v>
      </c>
      <c r="W19">
        <f t="shared" si="22"/>
        <v>5</v>
      </c>
      <c r="X19" s="1">
        <f t="shared" si="8"/>
        <v>-42.375165999301423</v>
      </c>
      <c r="Y19" s="1">
        <f t="shared" si="9"/>
        <v>-11.354391508647584</v>
      </c>
      <c r="Z19">
        <v>75</v>
      </c>
      <c r="AA19" s="1">
        <f>AA$4+VLOOKUP(Lanes!AB19,Data,5,FALSE)*(Z19/180)</f>
        <v>136.17447136711741</v>
      </c>
      <c r="AB19">
        <f t="shared" si="23"/>
        <v>6</v>
      </c>
      <c r="AC19" s="1">
        <f t="shared" si="10"/>
        <v>-43.553595507374084</v>
      </c>
      <c r="AD19" s="1">
        <f t="shared" si="11"/>
        <v>-11.670150743672648</v>
      </c>
      <c r="AE19">
        <v>75</v>
      </c>
      <c r="AF19" s="1">
        <f>AF$4+VLOOKUP(Lanes!AG19,Data,5,FALSE)*(AE19/180)</f>
        <v>137.7714476326922</v>
      </c>
      <c r="AG19">
        <f t="shared" si="24"/>
        <v>7</v>
      </c>
      <c r="AH19" s="1">
        <f t="shared" si="12"/>
        <v>-44.732025015446752</v>
      </c>
      <c r="AI19" s="1">
        <f t="shared" si="13"/>
        <v>-11.985909978697734</v>
      </c>
      <c r="AJ19">
        <v>75</v>
      </c>
      <c r="AK19" s="1">
        <f>AK$4+VLOOKUP(Lanes!AL19,Data,5,FALSE)*(AJ19/180)</f>
        <v>139.368423898267</v>
      </c>
      <c r="AL19">
        <f t="shared" si="25"/>
        <v>8</v>
      </c>
      <c r="AM19" s="1">
        <f t="shared" si="14"/>
        <v>-45.910454523519405</v>
      </c>
      <c r="AN19" s="1">
        <f t="shared" si="15"/>
        <v>-12.301669213722819</v>
      </c>
      <c r="AO19">
        <v>75</v>
      </c>
      <c r="AP19" s="1">
        <f>AP$4+VLOOKUP(Lanes!AQ19,Data,5,FALSE)*(AO19/180)</f>
        <v>140.96540016384182</v>
      </c>
      <c r="AQ19">
        <f t="shared" si="26"/>
        <v>9</v>
      </c>
      <c r="AR19" s="1">
        <f t="shared" si="16"/>
        <v>-47.088884031592073</v>
      </c>
      <c r="AS19" s="1">
        <f t="shared" si="17"/>
        <v>-12.617428448747884</v>
      </c>
      <c r="AX19">
        <v>-23.11</v>
      </c>
      <c r="AY19">
        <f>AY15-1.22</f>
        <v>-42.65</v>
      </c>
    </row>
    <row r="20" spans="1:51" x14ac:dyDescent="0.2">
      <c r="A20">
        <v>80</v>
      </c>
      <c r="B20" s="1">
        <f>B$4+VLOOKUP(Lanes!C20,Data,5,FALSE)*(A20/180)</f>
        <v>131.60956270852623</v>
      </c>
      <c r="C20">
        <f t="shared" si="18"/>
        <v>1</v>
      </c>
      <c r="D20" s="1">
        <f t="shared" si="0"/>
        <v>-38.39765428994599</v>
      </c>
      <c r="E20" s="1">
        <f t="shared" si="1"/>
        <v>-6.7705424472336171</v>
      </c>
      <c r="F20">
        <v>80</v>
      </c>
      <c r="G20" s="1">
        <f>G$4+VLOOKUP(Lanes!H20,Data,5,FALSE)*(F20/180)</f>
        <v>133.3130040584727</v>
      </c>
      <c r="H20">
        <f t="shared" si="19"/>
        <v>2</v>
      </c>
      <c r="I20" s="1">
        <f t="shared" si="2"/>
        <v>-39.599119748620893</v>
      </c>
      <c r="J20" s="1">
        <f t="shared" si="3"/>
        <v>-6.9823932239872644</v>
      </c>
      <c r="K20">
        <v>80</v>
      </c>
      <c r="L20" s="1">
        <f>L$4+VLOOKUP(Lanes!M20,Data,5,FALSE)*(K20/180)</f>
        <v>135.01644540841914</v>
      </c>
      <c r="M20">
        <f t="shared" si="20"/>
        <v>3</v>
      </c>
      <c r="N20" s="1">
        <f t="shared" si="4"/>
        <v>-40.800585207295775</v>
      </c>
      <c r="O20" s="1">
        <f t="shared" si="5"/>
        <v>-7.1942440007409454</v>
      </c>
      <c r="P20">
        <v>80</v>
      </c>
      <c r="Q20" s="1">
        <f>Q$4+VLOOKUP(Lanes!R20,Data,5,FALSE)*(P20/180)</f>
        <v>136.71988675836562</v>
      </c>
      <c r="R20">
        <f t="shared" si="21"/>
        <v>4</v>
      </c>
      <c r="S20" s="1">
        <f t="shared" si="6"/>
        <v>-42.002050665970671</v>
      </c>
      <c r="T20" s="1">
        <f t="shared" si="7"/>
        <v>-7.406094777494582</v>
      </c>
      <c r="U20">
        <v>80</v>
      </c>
      <c r="V20" s="1">
        <f>V$4+VLOOKUP(Lanes!W20,Data,5,FALSE)*(U20/180)</f>
        <v>138.42332810831209</v>
      </c>
      <c r="W20">
        <f t="shared" si="22"/>
        <v>5</v>
      </c>
      <c r="X20" s="1">
        <f t="shared" si="8"/>
        <v>-43.20351612464556</v>
      </c>
      <c r="Y20" s="1">
        <f t="shared" si="9"/>
        <v>-7.6179455542482373</v>
      </c>
      <c r="Z20">
        <v>80</v>
      </c>
      <c r="AA20" s="1">
        <f>AA$4+VLOOKUP(Lanes!AB20,Data,5,FALSE)*(Z20/180)</f>
        <v>140.12676945825854</v>
      </c>
      <c r="AB20">
        <f t="shared" si="23"/>
        <v>6</v>
      </c>
      <c r="AC20" s="1">
        <f t="shared" si="10"/>
        <v>-44.404981583320456</v>
      </c>
      <c r="AD20" s="1">
        <f t="shared" si="11"/>
        <v>-7.8297963310019014</v>
      </c>
      <c r="AE20">
        <v>80</v>
      </c>
      <c r="AF20" s="1">
        <f>AF$4+VLOOKUP(Lanes!AG20,Data,5,FALSE)*(AE20/180)</f>
        <v>141.83021080820501</v>
      </c>
      <c r="AG20">
        <f t="shared" si="24"/>
        <v>7</v>
      </c>
      <c r="AH20" s="1">
        <f t="shared" si="12"/>
        <v>-45.606447041995345</v>
      </c>
      <c r="AI20" s="1">
        <f t="shared" si="13"/>
        <v>-8.041647107755546</v>
      </c>
      <c r="AJ20">
        <v>80</v>
      </c>
      <c r="AK20" s="1">
        <f>AK$4+VLOOKUP(Lanes!AL20,Data,5,FALSE)*(AJ20/180)</f>
        <v>143.53365215815148</v>
      </c>
      <c r="AL20">
        <f t="shared" si="25"/>
        <v>8</v>
      </c>
      <c r="AM20" s="1">
        <f t="shared" si="14"/>
        <v>-46.807912500670241</v>
      </c>
      <c r="AN20" s="1">
        <f t="shared" si="15"/>
        <v>-8.2534978845092013</v>
      </c>
      <c r="AO20">
        <v>80</v>
      </c>
      <c r="AP20" s="1">
        <f>AP$4+VLOOKUP(Lanes!AQ20,Data,5,FALSE)*(AO20/180)</f>
        <v>145.23709350809793</v>
      </c>
      <c r="AQ20">
        <f t="shared" si="26"/>
        <v>9</v>
      </c>
      <c r="AR20" s="1">
        <f t="shared" si="16"/>
        <v>-48.009377959345137</v>
      </c>
      <c r="AS20" s="1">
        <f t="shared" si="17"/>
        <v>-8.4653486612628672</v>
      </c>
      <c r="AX20">
        <v>0</v>
      </c>
      <c r="AY20">
        <f>AY16-1.22</f>
        <v>-42.65</v>
      </c>
    </row>
    <row r="21" spans="1:51" x14ac:dyDescent="0.2">
      <c r="A21">
        <v>85</v>
      </c>
      <c r="B21" s="1">
        <f>B$4+VLOOKUP(Lanes!C21,Data,5,FALSE)*(A21/180)</f>
        <v>135.02953537780911</v>
      </c>
      <c r="C21">
        <f t="shared" si="18"/>
        <v>1</v>
      </c>
      <c r="D21" s="1">
        <f t="shared" si="0"/>
        <v>-38.841631278597163</v>
      </c>
      <c r="E21" s="1">
        <f t="shared" si="1"/>
        <v>-3.3982024097311911</v>
      </c>
      <c r="F21">
        <v>85</v>
      </c>
      <c r="G21" s="1">
        <f>G$4+VLOOKUP(Lanes!H21,Data,5,FALSE)*(F21/180)</f>
        <v>136.83944181212723</v>
      </c>
      <c r="H21">
        <f t="shared" si="19"/>
        <v>2</v>
      </c>
      <c r="I21" s="1">
        <f t="shared" si="2"/>
        <v>-40.05698881026909</v>
      </c>
      <c r="J21" s="1">
        <f t="shared" si="3"/>
        <v>-3.5045324158833249</v>
      </c>
      <c r="K21">
        <v>85</v>
      </c>
      <c r="L21" s="1">
        <f>L$4+VLOOKUP(Lanes!M21,Data,5,FALSE)*(K21/180)</f>
        <v>138.64934824644536</v>
      </c>
      <c r="M21">
        <f t="shared" si="20"/>
        <v>3</v>
      </c>
      <c r="N21" s="1">
        <f t="shared" si="4"/>
        <v>-41.272346341941017</v>
      </c>
      <c r="O21" s="1">
        <f t="shared" si="5"/>
        <v>-3.6108624220354768</v>
      </c>
      <c r="P21">
        <v>85</v>
      </c>
      <c r="Q21" s="1">
        <f>Q$4+VLOOKUP(Lanes!R21,Data,5,FALSE)*(P21/180)</f>
        <v>140.45925468076348</v>
      </c>
      <c r="R21">
        <f t="shared" si="21"/>
        <v>4</v>
      </c>
      <c r="S21" s="1">
        <f t="shared" si="6"/>
        <v>-42.487703873612944</v>
      </c>
      <c r="T21" s="1">
        <f t="shared" si="7"/>
        <v>-3.7171924281876101</v>
      </c>
      <c r="U21">
        <v>85</v>
      </c>
      <c r="V21" s="1">
        <f>V$4+VLOOKUP(Lanes!W21,Data,5,FALSE)*(U21/180)</f>
        <v>142.2691611150816</v>
      </c>
      <c r="W21">
        <f t="shared" si="22"/>
        <v>5</v>
      </c>
      <c r="X21" s="1">
        <f t="shared" si="8"/>
        <v>-43.703061405284878</v>
      </c>
      <c r="Y21" s="1">
        <f t="shared" si="9"/>
        <v>-3.8235224343397527</v>
      </c>
      <c r="Z21">
        <v>85</v>
      </c>
      <c r="AA21" s="1">
        <f>AA$4+VLOOKUP(Lanes!AB21,Data,5,FALSE)*(Z21/180)</f>
        <v>144.07906754939972</v>
      </c>
      <c r="AB21">
        <f t="shared" si="23"/>
        <v>6</v>
      </c>
      <c r="AC21" s="1">
        <f t="shared" si="10"/>
        <v>-44.918418936956805</v>
      </c>
      <c r="AD21" s="1">
        <f t="shared" si="11"/>
        <v>-3.9298524404918953</v>
      </c>
      <c r="AE21">
        <v>85</v>
      </c>
      <c r="AF21" s="1">
        <f>AF$4+VLOOKUP(Lanes!AG21,Data,5,FALSE)*(AE21/180)</f>
        <v>145.88897398371785</v>
      </c>
      <c r="AG21">
        <f t="shared" si="24"/>
        <v>7</v>
      </c>
      <c r="AH21" s="1">
        <f t="shared" si="12"/>
        <v>-46.133776468628731</v>
      </c>
      <c r="AI21" s="1">
        <f t="shared" si="13"/>
        <v>-4.0361824466440277</v>
      </c>
      <c r="AJ21">
        <v>85</v>
      </c>
      <c r="AK21" s="1">
        <f>AK$4+VLOOKUP(Lanes!AL21,Data,5,FALSE)*(AJ21/180)</f>
        <v>147.69888041803594</v>
      </c>
      <c r="AL21">
        <f t="shared" si="25"/>
        <v>8</v>
      </c>
      <c r="AM21" s="1">
        <f t="shared" si="14"/>
        <v>-47.349134000300658</v>
      </c>
      <c r="AN21" s="1">
        <f t="shared" si="15"/>
        <v>-4.1425124527961907</v>
      </c>
      <c r="AO21">
        <v>85</v>
      </c>
      <c r="AP21" s="1">
        <f>AP$4+VLOOKUP(Lanes!AQ21,Data,5,FALSE)*(AO21/180)</f>
        <v>149.50878685235406</v>
      </c>
      <c r="AQ21">
        <f t="shared" si="26"/>
        <v>9</v>
      </c>
      <c r="AR21" s="1">
        <f t="shared" si="16"/>
        <v>-48.564491531972585</v>
      </c>
      <c r="AS21" s="1">
        <f t="shared" si="17"/>
        <v>-4.2488424589483333</v>
      </c>
      <c r="AX21" t="s">
        <v>63</v>
      </c>
    </row>
    <row r="22" spans="1:51" x14ac:dyDescent="0.2">
      <c r="A22">
        <v>90</v>
      </c>
      <c r="B22" s="1">
        <f>B$4+VLOOKUP(Lanes!C22,Data,5,FALSE)*(A22/180)</f>
        <v>138.449508047092</v>
      </c>
      <c r="C22">
        <f t="shared" si="18"/>
        <v>1</v>
      </c>
      <c r="D22" s="1">
        <f t="shared" si="0"/>
        <v>-38.99</v>
      </c>
      <c r="E22" s="1">
        <f t="shared" si="1"/>
        <v>-1.1044968080964737E-14</v>
      </c>
      <c r="F22">
        <v>90</v>
      </c>
      <c r="G22" s="1">
        <f>G$4+VLOOKUP(Lanes!H22,Data,5,FALSE)*(F22/180)</f>
        <v>140.36587956578177</v>
      </c>
      <c r="H22">
        <f t="shared" si="19"/>
        <v>2</v>
      </c>
      <c r="I22" s="1">
        <f t="shared" si="2"/>
        <v>-40.21</v>
      </c>
      <c r="J22" s="1">
        <f t="shared" si="3"/>
        <v>-1.1390565953721264E-14</v>
      </c>
      <c r="K22">
        <v>90</v>
      </c>
      <c r="L22" s="1">
        <f>L$4+VLOOKUP(Lanes!M22,Data,5,FALSE)*(K22/180)</f>
        <v>142.28225108447157</v>
      </c>
      <c r="M22">
        <f t="shared" si="20"/>
        <v>3</v>
      </c>
      <c r="N22" s="1">
        <f t="shared" si="4"/>
        <v>-41.43</v>
      </c>
      <c r="O22" s="1">
        <f t="shared" si="5"/>
        <v>6.6624521376103057E-15</v>
      </c>
      <c r="P22">
        <v>90</v>
      </c>
      <c r="Q22" s="1">
        <f>Q$4+VLOOKUP(Lanes!R22,Data,5,FALSE)*(P22/180)</f>
        <v>144.19862260316131</v>
      </c>
      <c r="R22">
        <f t="shared" si="21"/>
        <v>4</v>
      </c>
      <c r="S22" s="1">
        <f t="shared" si="6"/>
        <v>-42.65</v>
      </c>
      <c r="T22" s="1">
        <f t="shared" si="7"/>
        <v>-1.2081761699234316E-14</v>
      </c>
      <c r="U22">
        <v>90</v>
      </c>
      <c r="V22" s="1">
        <f>V$4+VLOOKUP(Lanes!W22,Data,5,FALSE)*(U22/180)</f>
        <v>146.11499412185111</v>
      </c>
      <c r="W22">
        <f t="shared" si="22"/>
        <v>5</v>
      </c>
      <c r="X22" s="1">
        <f t="shared" si="8"/>
        <v>-43.87</v>
      </c>
      <c r="Y22" s="1">
        <f t="shared" si="9"/>
        <v>7.0548340641314045E-15</v>
      </c>
      <c r="Z22">
        <v>90</v>
      </c>
      <c r="AA22" s="1">
        <f>AA$4+VLOOKUP(Lanes!AB22,Data,5,FALSE)*(Z22/180)</f>
        <v>148.03136564054086</v>
      </c>
      <c r="AB22">
        <f t="shared" si="23"/>
        <v>6</v>
      </c>
      <c r="AC22" s="1">
        <f t="shared" si="10"/>
        <v>-45.089999999999996</v>
      </c>
      <c r="AD22" s="1">
        <f t="shared" si="11"/>
        <v>-1.2772957444747369E-14</v>
      </c>
      <c r="AE22">
        <v>90</v>
      </c>
      <c r="AF22" s="1">
        <f>AF$4+VLOOKUP(Lanes!AG22,Data,5,FALSE)*(AE22/180)</f>
        <v>149.94773715923066</v>
      </c>
      <c r="AG22">
        <f t="shared" si="24"/>
        <v>7</v>
      </c>
      <c r="AH22" s="1">
        <f t="shared" si="12"/>
        <v>-46.309999999999995</v>
      </c>
      <c r="AI22" s="1">
        <f t="shared" si="13"/>
        <v>7.4472159906525034E-15</v>
      </c>
      <c r="AJ22">
        <v>90</v>
      </c>
      <c r="AK22" s="1">
        <f>AK$4+VLOOKUP(Lanes!AL22,Data,5,FALSE)*(AJ22/180)</f>
        <v>151.8641086779204</v>
      </c>
      <c r="AL22">
        <f t="shared" si="25"/>
        <v>8</v>
      </c>
      <c r="AM22" s="1">
        <f t="shared" si="14"/>
        <v>-47.529999999999994</v>
      </c>
      <c r="AN22" s="1">
        <f t="shared" si="15"/>
        <v>-1.3464153190260422E-14</v>
      </c>
      <c r="AO22">
        <v>90</v>
      </c>
      <c r="AP22" s="1">
        <f>AP$4+VLOOKUP(Lanes!AQ22,Data,5,FALSE)*(AO22/180)</f>
        <v>153.7804801966102</v>
      </c>
      <c r="AQ22">
        <f t="shared" si="26"/>
        <v>9</v>
      </c>
      <c r="AR22" s="1">
        <f t="shared" si="16"/>
        <v>-48.749999999999993</v>
      </c>
      <c r="AS22" s="1">
        <f t="shared" si="17"/>
        <v>7.8395979171736023E-15</v>
      </c>
      <c r="AX22" s="3" t="s">
        <v>0</v>
      </c>
      <c r="AY22" s="3" t="s">
        <v>1</v>
      </c>
    </row>
    <row r="23" spans="1:51" x14ac:dyDescent="0.2">
      <c r="A23">
        <v>95</v>
      </c>
      <c r="B23" s="1">
        <f>B$4+VLOOKUP(Lanes!C23,Data,5,FALSE)*(A23/180)</f>
        <v>141.86948071637488</v>
      </c>
      <c r="C23">
        <f t="shared" si="18"/>
        <v>1</v>
      </c>
      <c r="D23" s="1">
        <f t="shared" si="0"/>
        <v>-38.841631278597163</v>
      </c>
      <c r="E23" s="1">
        <f t="shared" si="1"/>
        <v>3.3982024097311774</v>
      </c>
      <c r="F23">
        <v>95</v>
      </c>
      <c r="G23" s="1">
        <f>G$4+VLOOKUP(Lanes!H23,Data,5,FALSE)*(F23/180)</f>
        <v>143.8923173194363</v>
      </c>
      <c r="H23">
        <f t="shared" si="19"/>
        <v>2</v>
      </c>
      <c r="I23" s="1">
        <f t="shared" si="2"/>
        <v>-40.05698881026909</v>
      </c>
      <c r="J23" s="1">
        <f t="shared" si="3"/>
        <v>3.50453241588332</v>
      </c>
      <c r="K23">
        <v>95</v>
      </c>
      <c r="L23" s="1">
        <f>L$4+VLOOKUP(Lanes!M23,Data,5,FALSE)*(K23/180)</f>
        <v>145.91515392249775</v>
      </c>
      <c r="M23">
        <f t="shared" si="20"/>
        <v>3</v>
      </c>
      <c r="N23" s="1">
        <f t="shared" si="4"/>
        <v>-41.272346341941017</v>
      </c>
      <c r="O23" s="1">
        <f t="shared" si="5"/>
        <v>3.6108624220354808</v>
      </c>
      <c r="P23">
        <v>95</v>
      </c>
      <c r="Q23" s="1">
        <f>Q$4+VLOOKUP(Lanes!R23,Data,5,FALSE)*(P23/180)</f>
        <v>147.93799052555917</v>
      </c>
      <c r="R23">
        <f t="shared" si="21"/>
        <v>4</v>
      </c>
      <c r="S23" s="1">
        <f t="shared" si="6"/>
        <v>-42.487703873612944</v>
      </c>
      <c r="T23" s="1">
        <f t="shared" si="7"/>
        <v>3.7171924281876234</v>
      </c>
      <c r="U23">
        <v>95</v>
      </c>
      <c r="V23" s="1">
        <f>V$4+VLOOKUP(Lanes!W23,Data,5,FALSE)*(U23/180)</f>
        <v>149.96082712862062</v>
      </c>
      <c r="W23">
        <f t="shared" si="22"/>
        <v>5</v>
      </c>
      <c r="X23" s="1">
        <f t="shared" si="8"/>
        <v>-43.70306140528487</v>
      </c>
      <c r="Y23" s="1">
        <f t="shared" si="9"/>
        <v>3.823522434339786</v>
      </c>
      <c r="Z23">
        <v>95</v>
      </c>
      <c r="AA23" s="1">
        <f>AA$4+VLOOKUP(Lanes!AB23,Data,5,FALSE)*(Z23/180)</f>
        <v>151.98366373168204</v>
      </c>
      <c r="AB23">
        <f t="shared" si="23"/>
        <v>6</v>
      </c>
      <c r="AC23" s="1">
        <f t="shared" si="10"/>
        <v>-44.918418936956797</v>
      </c>
      <c r="AD23" s="1">
        <f t="shared" si="11"/>
        <v>3.9298524404919295</v>
      </c>
      <c r="AE23">
        <v>95</v>
      </c>
      <c r="AF23" s="1">
        <f>AF$4+VLOOKUP(Lanes!AG23,Data,5,FALSE)*(AE23/180)</f>
        <v>154.00650033474346</v>
      </c>
      <c r="AG23">
        <f t="shared" si="24"/>
        <v>7</v>
      </c>
      <c r="AH23" s="1">
        <f t="shared" si="12"/>
        <v>-46.133776468628731</v>
      </c>
      <c r="AI23" s="1">
        <f t="shared" si="13"/>
        <v>4.0361824466440526</v>
      </c>
      <c r="AJ23">
        <v>95</v>
      </c>
      <c r="AK23" s="1">
        <f>AK$4+VLOOKUP(Lanes!AL23,Data,5,FALSE)*(AJ23/180)</f>
        <v>156.02933693780489</v>
      </c>
      <c r="AL23">
        <f t="shared" si="25"/>
        <v>8</v>
      </c>
      <c r="AM23" s="1">
        <f t="shared" si="14"/>
        <v>-47.349134000300658</v>
      </c>
      <c r="AN23" s="1">
        <f t="shared" si="15"/>
        <v>4.1425124527961952</v>
      </c>
      <c r="AO23">
        <v>95</v>
      </c>
      <c r="AP23" s="1">
        <f>AP$4+VLOOKUP(Lanes!AQ23,Data,5,FALSE)*(AO23/180)</f>
        <v>158.05217354086631</v>
      </c>
      <c r="AQ23">
        <f t="shared" si="26"/>
        <v>9</v>
      </c>
      <c r="AR23" s="1">
        <f t="shared" si="16"/>
        <v>-48.564491531972585</v>
      </c>
      <c r="AS23" s="1">
        <f t="shared" si="17"/>
        <v>4.2488424589483387</v>
      </c>
      <c r="AX23">
        <v>-23.11</v>
      </c>
      <c r="AY23">
        <f>AY19-1.22</f>
        <v>-43.87</v>
      </c>
    </row>
    <row r="24" spans="1:51" x14ac:dyDescent="0.2">
      <c r="A24">
        <v>100</v>
      </c>
      <c r="B24" s="1">
        <f>B$4+VLOOKUP(Lanes!C24,Data,5,FALSE)*(A24/180)</f>
        <v>145.28945338565779</v>
      </c>
      <c r="C24">
        <f t="shared" si="18"/>
        <v>1</v>
      </c>
      <c r="D24" s="1">
        <f t="shared" si="0"/>
        <v>-38.39765428994599</v>
      </c>
      <c r="E24" s="1">
        <f t="shared" si="1"/>
        <v>6.7705424472336304</v>
      </c>
      <c r="F24">
        <v>100</v>
      </c>
      <c r="G24" s="1">
        <f>G$4+VLOOKUP(Lanes!H24,Data,5,FALSE)*(F24/180)</f>
        <v>147.41875507309086</v>
      </c>
      <c r="H24">
        <f t="shared" si="19"/>
        <v>2</v>
      </c>
      <c r="I24" s="1">
        <f t="shared" si="2"/>
        <v>-39.599119748620886</v>
      </c>
      <c r="J24" s="1">
        <f t="shared" si="3"/>
        <v>6.9823932239872679</v>
      </c>
      <c r="K24">
        <v>100</v>
      </c>
      <c r="L24" s="1">
        <f>L$4+VLOOKUP(Lanes!M24,Data,5,FALSE)*(K24/180)</f>
        <v>149.54805676052393</v>
      </c>
      <c r="M24">
        <f t="shared" si="20"/>
        <v>3</v>
      </c>
      <c r="N24" s="1">
        <f t="shared" si="4"/>
        <v>-40.800585207295782</v>
      </c>
      <c r="O24" s="1">
        <f t="shared" si="5"/>
        <v>7.1942440007409134</v>
      </c>
      <c r="P24">
        <v>100</v>
      </c>
      <c r="Q24" s="1">
        <f>Q$4+VLOOKUP(Lanes!R24,Data,5,FALSE)*(P24/180)</f>
        <v>151.67735844795703</v>
      </c>
      <c r="R24">
        <f t="shared" si="21"/>
        <v>4</v>
      </c>
      <c r="S24" s="1">
        <f t="shared" si="6"/>
        <v>-42.002050665970671</v>
      </c>
      <c r="T24" s="1">
        <f t="shared" si="7"/>
        <v>7.4060947774945776</v>
      </c>
      <c r="U24">
        <v>100</v>
      </c>
      <c r="V24" s="1">
        <f>V$4+VLOOKUP(Lanes!W24,Data,5,FALSE)*(U24/180)</f>
        <v>153.80666013539013</v>
      </c>
      <c r="W24">
        <f t="shared" si="22"/>
        <v>5</v>
      </c>
      <c r="X24" s="1">
        <f t="shared" si="8"/>
        <v>-43.20351612464556</v>
      </c>
      <c r="Y24" s="1">
        <f t="shared" si="9"/>
        <v>7.6179455542482515</v>
      </c>
      <c r="Z24">
        <v>100</v>
      </c>
      <c r="AA24" s="1">
        <f>AA$4+VLOOKUP(Lanes!AB24,Data,5,FALSE)*(Z24/180)</f>
        <v>155.93596182282317</v>
      </c>
      <c r="AB24">
        <f t="shared" si="23"/>
        <v>6</v>
      </c>
      <c r="AC24" s="1">
        <f t="shared" si="10"/>
        <v>-44.404981583320463</v>
      </c>
      <c r="AD24" s="1">
        <f t="shared" si="11"/>
        <v>7.8297963310018766</v>
      </c>
      <c r="AE24">
        <v>100</v>
      </c>
      <c r="AF24" s="1">
        <f>AF$4+VLOOKUP(Lanes!AG24,Data,5,FALSE)*(AE24/180)</f>
        <v>158.06526351025627</v>
      </c>
      <c r="AG24">
        <f t="shared" si="24"/>
        <v>7</v>
      </c>
      <c r="AH24" s="1">
        <f t="shared" si="12"/>
        <v>-45.606447041995345</v>
      </c>
      <c r="AI24" s="1">
        <f t="shared" si="13"/>
        <v>8.0416471077555407</v>
      </c>
      <c r="AJ24">
        <v>100</v>
      </c>
      <c r="AK24" s="1">
        <f>AK$4+VLOOKUP(Lanes!AL24,Data,5,FALSE)*(AJ24/180)</f>
        <v>160.19456519768937</v>
      </c>
      <c r="AL24">
        <f t="shared" si="25"/>
        <v>8</v>
      </c>
      <c r="AM24" s="1">
        <f t="shared" si="14"/>
        <v>-46.807912500670241</v>
      </c>
      <c r="AN24" s="1">
        <f t="shared" si="15"/>
        <v>8.2534978845092173</v>
      </c>
      <c r="AO24">
        <v>100</v>
      </c>
      <c r="AP24" s="1">
        <f>AP$4+VLOOKUP(Lanes!AQ24,Data,5,FALSE)*(AO24/180)</f>
        <v>162.32386688512241</v>
      </c>
      <c r="AQ24">
        <f t="shared" si="26"/>
        <v>9</v>
      </c>
      <c r="AR24" s="1">
        <f t="shared" si="16"/>
        <v>-48.009377959345137</v>
      </c>
      <c r="AS24" s="1">
        <f t="shared" si="17"/>
        <v>8.4653486612628406</v>
      </c>
      <c r="AX24">
        <v>0</v>
      </c>
      <c r="AY24">
        <f>AY20-1.22</f>
        <v>-43.87</v>
      </c>
    </row>
    <row r="25" spans="1:51" x14ac:dyDescent="0.2">
      <c r="A25">
        <v>105</v>
      </c>
      <c r="B25" s="1">
        <f>B$4+VLOOKUP(Lanes!C25,Data,5,FALSE)*(A25/180)</f>
        <v>148.70942605494068</v>
      </c>
      <c r="C25">
        <f t="shared" si="18"/>
        <v>1</v>
      </c>
      <c r="D25" s="1">
        <f t="shared" si="0"/>
        <v>-37.661447967010773</v>
      </c>
      <c r="E25" s="1">
        <f t="shared" si="1"/>
        <v>10.091354568547288</v>
      </c>
      <c r="F25">
        <v>105</v>
      </c>
      <c r="G25" s="1">
        <f>G$4+VLOOKUP(Lanes!H25,Data,5,FALSE)*(F25/180)</f>
        <v>150.94519282674543</v>
      </c>
      <c r="H25">
        <f t="shared" si="19"/>
        <v>2</v>
      </c>
      <c r="I25" s="1">
        <f t="shared" si="2"/>
        <v>-38.839877475083433</v>
      </c>
      <c r="J25" s="1">
        <f t="shared" si="3"/>
        <v>10.407113803572379</v>
      </c>
      <c r="K25">
        <v>105</v>
      </c>
      <c r="L25" s="1">
        <f>L$4+VLOOKUP(Lanes!M25,Data,5,FALSE)*(K25/180)</f>
        <v>153.18095959855015</v>
      </c>
      <c r="M25">
        <f t="shared" si="20"/>
        <v>3</v>
      </c>
      <c r="N25" s="1">
        <f t="shared" si="4"/>
        <v>-40.018306983156101</v>
      </c>
      <c r="O25" s="1">
        <f t="shared" si="5"/>
        <v>10.722873038597438</v>
      </c>
      <c r="P25">
        <v>105</v>
      </c>
      <c r="Q25" s="1">
        <f>Q$4+VLOOKUP(Lanes!R25,Data,5,FALSE)*(P25/180)</f>
        <v>155.41672637035487</v>
      </c>
      <c r="R25">
        <f t="shared" si="21"/>
        <v>4</v>
      </c>
      <c r="S25" s="1">
        <f t="shared" si="6"/>
        <v>-41.196736491228769</v>
      </c>
      <c r="T25" s="1">
        <f t="shared" si="7"/>
        <v>11.038632273622495</v>
      </c>
      <c r="U25">
        <v>105</v>
      </c>
      <c r="V25" s="1">
        <f>V$4+VLOOKUP(Lanes!W25,Data,5,FALSE)*(U25/180)</f>
        <v>157.65249314215961</v>
      </c>
      <c r="W25">
        <f t="shared" si="22"/>
        <v>5</v>
      </c>
      <c r="X25" s="1">
        <f t="shared" si="8"/>
        <v>-42.375165999301423</v>
      </c>
      <c r="Y25" s="1">
        <f t="shared" si="9"/>
        <v>11.35439150864759</v>
      </c>
      <c r="Z25">
        <v>105</v>
      </c>
      <c r="AA25" s="1">
        <f>AA$4+VLOOKUP(Lanes!AB25,Data,5,FALSE)*(Z25/180)</f>
        <v>159.88825991396436</v>
      </c>
      <c r="AB25">
        <f t="shared" si="23"/>
        <v>6</v>
      </c>
      <c r="AC25" s="1">
        <f t="shared" si="10"/>
        <v>-43.553595507374084</v>
      </c>
      <c r="AD25" s="1">
        <f t="shared" si="11"/>
        <v>11.670150743672682</v>
      </c>
      <c r="AE25">
        <v>105</v>
      </c>
      <c r="AF25" s="1">
        <f>AF$4+VLOOKUP(Lanes!AG25,Data,5,FALSE)*(AE25/180)</f>
        <v>162.12402668576908</v>
      </c>
      <c r="AG25">
        <f t="shared" si="24"/>
        <v>7</v>
      </c>
      <c r="AH25" s="1">
        <f t="shared" si="12"/>
        <v>-44.732025015446752</v>
      </c>
      <c r="AI25" s="1">
        <f t="shared" si="13"/>
        <v>11.985909978697739</v>
      </c>
      <c r="AJ25">
        <v>105</v>
      </c>
      <c r="AK25" s="1">
        <f>AK$4+VLOOKUP(Lanes!AL25,Data,5,FALSE)*(AJ25/180)</f>
        <v>164.3597934575738</v>
      </c>
      <c r="AL25">
        <f t="shared" si="25"/>
        <v>8</v>
      </c>
      <c r="AM25" s="1">
        <f t="shared" si="14"/>
        <v>-45.910454523519419</v>
      </c>
      <c r="AN25" s="1">
        <f t="shared" si="15"/>
        <v>12.301669213722793</v>
      </c>
      <c r="AO25">
        <v>105</v>
      </c>
      <c r="AP25" s="1">
        <f>AP$4+VLOOKUP(Lanes!AQ25,Data,5,FALSE)*(AO25/180)</f>
        <v>166.59556022937855</v>
      </c>
      <c r="AQ25">
        <f t="shared" si="26"/>
        <v>9</v>
      </c>
      <c r="AR25" s="1">
        <f t="shared" si="16"/>
        <v>-47.088884031592073</v>
      </c>
      <c r="AS25" s="1">
        <f t="shared" si="17"/>
        <v>12.617428448747889</v>
      </c>
      <c r="AX25" t="s">
        <v>64</v>
      </c>
    </row>
    <row r="26" spans="1:51" x14ac:dyDescent="0.2">
      <c r="A26">
        <v>110</v>
      </c>
      <c r="B26" s="1">
        <f>B$4+VLOOKUP(Lanes!C26,Data,5,FALSE)*(A26/180)</f>
        <v>152.12939872422356</v>
      </c>
      <c r="C26">
        <f t="shared" si="18"/>
        <v>1</v>
      </c>
      <c r="D26" s="1">
        <f t="shared" si="0"/>
        <v>-36.638615284442565</v>
      </c>
      <c r="E26" s="1">
        <f t="shared" si="1"/>
        <v>13.335365388267832</v>
      </c>
      <c r="F26">
        <v>110</v>
      </c>
      <c r="G26" s="1">
        <f>G$4+VLOOKUP(Lanes!H26,Data,5,FALSE)*(F26/180)</f>
        <v>154.47163058039996</v>
      </c>
      <c r="H26">
        <f t="shared" si="19"/>
        <v>2</v>
      </c>
      <c r="I26" s="1">
        <f t="shared" si="2"/>
        <v>-37.785040281801372</v>
      </c>
      <c r="J26" s="1">
        <f t="shared" si="3"/>
        <v>13.752629963125155</v>
      </c>
      <c r="K26">
        <v>110</v>
      </c>
      <c r="L26" s="1">
        <f>L$4+VLOOKUP(Lanes!M26,Data,5,FALSE)*(K26/180)</f>
        <v>156.81386243657636</v>
      </c>
      <c r="M26">
        <f t="shared" si="20"/>
        <v>3</v>
      </c>
      <c r="N26" s="1">
        <f t="shared" si="4"/>
        <v>-38.931465279160179</v>
      </c>
      <c r="O26" s="1">
        <f t="shared" si="5"/>
        <v>14.16989453798247</v>
      </c>
      <c r="P26">
        <v>110</v>
      </c>
      <c r="Q26" s="1">
        <f>Q$4+VLOOKUP(Lanes!R26,Data,5,FALSE)*(P26/180)</f>
        <v>159.15609429275275</v>
      </c>
      <c r="R26">
        <f t="shared" si="21"/>
        <v>4</v>
      </c>
      <c r="S26" s="1">
        <f t="shared" si="6"/>
        <v>-40.077890276518986</v>
      </c>
      <c r="T26" s="1">
        <f t="shared" si="7"/>
        <v>14.587159112839787</v>
      </c>
      <c r="U26">
        <v>110</v>
      </c>
      <c r="V26" s="1">
        <f>V$4+VLOOKUP(Lanes!W26,Data,5,FALSE)*(U26/180)</f>
        <v>161.49832614892912</v>
      </c>
      <c r="W26">
        <f t="shared" si="22"/>
        <v>5</v>
      </c>
      <c r="X26" s="1">
        <f t="shared" si="8"/>
        <v>-41.224315273877792</v>
      </c>
      <c r="Y26" s="1">
        <f t="shared" si="9"/>
        <v>15.004423687697095</v>
      </c>
      <c r="Z26">
        <v>110</v>
      </c>
      <c r="AA26" s="1">
        <f>AA$4+VLOOKUP(Lanes!AB26,Data,5,FALSE)*(Z26/180)</f>
        <v>163.84055800510549</v>
      </c>
      <c r="AB26">
        <f t="shared" si="23"/>
        <v>6</v>
      </c>
      <c r="AC26" s="1">
        <f t="shared" si="10"/>
        <v>-42.370740271236606</v>
      </c>
      <c r="AD26" s="1">
        <f t="shared" si="11"/>
        <v>15.42168826255439</v>
      </c>
      <c r="AE26">
        <v>110</v>
      </c>
      <c r="AF26" s="1">
        <f>AF$4+VLOOKUP(Lanes!AG26,Data,5,FALSE)*(AE26/180)</f>
        <v>166.18278986128189</v>
      </c>
      <c r="AG26">
        <f t="shared" si="24"/>
        <v>7</v>
      </c>
      <c r="AH26" s="1">
        <f t="shared" si="12"/>
        <v>-43.517165268595413</v>
      </c>
      <c r="AI26" s="1">
        <f t="shared" si="13"/>
        <v>15.838952837411707</v>
      </c>
      <c r="AJ26">
        <v>110</v>
      </c>
      <c r="AK26" s="1">
        <f>AK$4+VLOOKUP(Lanes!AL26,Data,5,FALSE)*(AJ26/180)</f>
        <v>168.52502171745829</v>
      </c>
      <c r="AL26">
        <f t="shared" si="25"/>
        <v>8</v>
      </c>
      <c r="AM26" s="1">
        <f t="shared" si="14"/>
        <v>-44.66359026595422</v>
      </c>
      <c r="AN26" s="1">
        <f t="shared" si="15"/>
        <v>16.256217412269041</v>
      </c>
      <c r="AO26">
        <v>110</v>
      </c>
      <c r="AP26" s="1">
        <f>AP$4+VLOOKUP(Lanes!AQ26,Data,5,FALSE)*(AO26/180)</f>
        <v>170.86725357363468</v>
      </c>
      <c r="AQ26">
        <f t="shared" si="26"/>
        <v>9</v>
      </c>
      <c r="AR26" s="1">
        <f t="shared" si="16"/>
        <v>-45.810015263313026</v>
      </c>
      <c r="AS26" s="1">
        <f t="shared" si="17"/>
        <v>16.673481987126358</v>
      </c>
      <c r="AX26" s="3" t="s">
        <v>0</v>
      </c>
      <c r="AY26" s="3" t="s">
        <v>1</v>
      </c>
    </row>
    <row r="27" spans="1:51" x14ac:dyDescent="0.2">
      <c r="A27">
        <v>115</v>
      </c>
      <c r="B27" s="1">
        <f>B$4+VLOOKUP(Lanes!C27,Data,5,FALSE)*(A27/180)</f>
        <v>155.54937139350645</v>
      </c>
      <c r="C27">
        <f t="shared" si="18"/>
        <v>1</v>
      </c>
      <c r="D27" s="1">
        <f t="shared" si="0"/>
        <v>-35.336940616558984</v>
      </c>
      <c r="E27" s="1">
        <f t="shared" si="1"/>
        <v>16.477886025269868</v>
      </c>
      <c r="F27">
        <v>115</v>
      </c>
      <c r="G27" s="1">
        <f>G$4+VLOOKUP(Lanes!H27,Data,5,FALSE)*(F27/180)</f>
        <v>157.99806833405449</v>
      </c>
      <c r="H27">
        <f t="shared" si="19"/>
        <v>2</v>
      </c>
      <c r="I27" s="1">
        <f t="shared" si="2"/>
        <v>-36.442636116743692</v>
      </c>
      <c r="J27" s="1">
        <f t="shared" si="3"/>
        <v>16.993480304593536</v>
      </c>
      <c r="K27">
        <v>115</v>
      </c>
      <c r="L27" s="1">
        <f>L$4+VLOOKUP(Lanes!M27,Data,5,FALSE)*(K27/180)</f>
        <v>160.44676527460254</v>
      </c>
      <c r="M27">
        <f t="shared" si="20"/>
        <v>3</v>
      </c>
      <c r="N27" s="1">
        <f t="shared" si="4"/>
        <v>-37.548331616928408</v>
      </c>
      <c r="O27" s="1">
        <f t="shared" si="5"/>
        <v>17.509074583917172</v>
      </c>
      <c r="P27">
        <v>115</v>
      </c>
      <c r="Q27" s="1">
        <f>Q$4+VLOOKUP(Lanes!R27,Data,5,FALSE)*(P27/180)</f>
        <v>162.89546221515059</v>
      </c>
      <c r="R27">
        <f t="shared" si="21"/>
        <v>4</v>
      </c>
      <c r="S27" s="1">
        <f t="shared" si="6"/>
        <v>-38.654027117113117</v>
      </c>
      <c r="T27" s="1">
        <f t="shared" si="7"/>
        <v>18.024668863240841</v>
      </c>
      <c r="U27">
        <v>115</v>
      </c>
      <c r="V27" s="1">
        <f>V$4+VLOOKUP(Lanes!W27,Data,5,FALSE)*(U27/180)</f>
        <v>165.34415915569861</v>
      </c>
      <c r="W27">
        <f t="shared" si="22"/>
        <v>5</v>
      </c>
      <c r="X27" s="1">
        <f t="shared" si="8"/>
        <v>-39.75972261729784</v>
      </c>
      <c r="Y27" s="1">
        <f t="shared" si="9"/>
        <v>18.540263142564463</v>
      </c>
      <c r="Z27">
        <v>115</v>
      </c>
      <c r="AA27" s="1">
        <f>AA$4+VLOOKUP(Lanes!AB27,Data,5,FALSE)*(Z27/180)</f>
        <v>167.79285609624668</v>
      </c>
      <c r="AB27">
        <f t="shared" si="23"/>
        <v>6</v>
      </c>
      <c r="AC27" s="1">
        <f t="shared" si="10"/>
        <v>-40.865418117482534</v>
      </c>
      <c r="AD27" s="1">
        <f t="shared" si="11"/>
        <v>19.055857421888149</v>
      </c>
      <c r="AE27">
        <v>115</v>
      </c>
      <c r="AF27" s="1">
        <f>AF$4+VLOOKUP(Lanes!AG27,Data,5,FALSE)*(AE27/180)</f>
        <v>170.2415530367947</v>
      </c>
      <c r="AG27">
        <f t="shared" si="24"/>
        <v>7</v>
      </c>
      <c r="AH27" s="1">
        <f t="shared" si="12"/>
        <v>-41.971113617667257</v>
      </c>
      <c r="AI27" s="1">
        <f t="shared" si="13"/>
        <v>19.571451701211785</v>
      </c>
      <c r="AJ27">
        <v>115</v>
      </c>
      <c r="AK27" s="1">
        <f>AK$4+VLOOKUP(Lanes!AL27,Data,5,FALSE)*(AJ27/180)</f>
        <v>172.69024997734275</v>
      </c>
      <c r="AL27">
        <f t="shared" si="25"/>
        <v>8</v>
      </c>
      <c r="AM27" s="1">
        <f t="shared" si="14"/>
        <v>-43.076809117851973</v>
      </c>
      <c r="AN27" s="1">
        <f t="shared" si="15"/>
        <v>20.087045980535436</v>
      </c>
      <c r="AO27">
        <v>115</v>
      </c>
      <c r="AP27" s="1">
        <f>AP$4+VLOOKUP(Lanes!AQ27,Data,5,FALSE)*(AO27/180)</f>
        <v>175.13894691789079</v>
      </c>
      <c r="AQ27">
        <f t="shared" si="26"/>
        <v>9</v>
      </c>
      <c r="AR27" s="1">
        <f t="shared" si="16"/>
        <v>-44.182504618036681</v>
      </c>
      <c r="AS27" s="1">
        <f t="shared" si="17"/>
        <v>20.60264025985909</v>
      </c>
      <c r="AX27">
        <v>-23.11</v>
      </c>
      <c r="AY27">
        <f>AY23-1.22</f>
        <v>-45.089999999999996</v>
      </c>
    </row>
    <row r="28" spans="1:51" x14ac:dyDescent="0.2">
      <c r="A28">
        <v>120</v>
      </c>
      <c r="B28" s="1">
        <f>B$4+VLOOKUP(Lanes!C28,Data,5,FALSE)*(A28/180)</f>
        <v>158.96934406278933</v>
      </c>
      <c r="C28">
        <f t="shared" si="18"/>
        <v>1</v>
      </c>
      <c r="D28" s="1">
        <f t="shared" si="0"/>
        <v>-33.766330493555266</v>
      </c>
      <c r="E28" s="1">
        <f t="shared" si="1"/>
        <v>19.494999999999994</v>
      </c>
      <c r="F28">
        <v>120</v>
      </c>
      <c r="G28" s="1">
        <f>G$4+VLOOKUP(Lanes!H28,Data,5,FALSE)*(F28/180)</f>
        <v>161.52450608770903</v>
      </c>
      <c r="H28">
        <f t="shared" si="19"/>
        <v>2</v>
      </c>
      <c r="I28" s="1">
        <f t="shared" si="2"/>
        <v>-34.822881486172278</v>
      </c>
      <c r="J28" s="1">
        <f t="shared" si="3"/>
        <v>20.104999999999993</v>
      </c>
      <c r="K28">
        <v>120</v>
      </c>
      <c r="L28" s="1">
        <f>L$4+VLOOKUP(Lanes!M28,Data,5,FALSE)*(K28/180)</f>
        <v>164.07966811262872</v>
      </c>
      <c r="M28">
        <f t="shared" si="20"/>
        <v>3</v>
      </c>
      <c r="N28" s="1">
        <f t="shared" si="4"/>
        <v>-35.879432478789312</v>
      </c>
      <c r="O28" s="1">
        <f t="shared" si="5"/>
        <v>20.714999999999979</v>
      </c>
      <c r="P28">
        <v>120</v>
      </c>
      <c r="Q28" s="1">
        <f>Q$4+VLOOKUP(Lanes!R28,Data,5,FALSE)*(P28/180)</f>
        <v>166.63483013754842</v>
      </c>
      <c r="R28">
        <f t="shared" si="21"/>
        <v>4</v>
      </c>
      <c r="S28" s="1">
        <f t="shared" si="6"/>
        <v>-36.935983471406324</v>
      </c>
      <c r="T28" s="1">
        <f t="shared" si="7"/>
        <v>21.324999999999974</v>
      </c>
      <c r="U28">
        <v>120</v>
      </c>
      <c r="V28" s="1">
        <f>V$4+VLOOKUP(Lanes!W28,Data,5,FALSE)*(U28/180)</f>
        <v>169.18999216246812</v>
      </c>
      <c r="W28">
        <f t="shared" si="22"/>
        <v>5</v>
      </c>
      <c r="X28" s="1">
        <f t="shared" si="8"/>
        <v>-37.992534464023336</v>
      </c>
      <c r="Y28" s="1">
        <f t="shared" si="9"/>
        <v>21.934999999999974</v>
      </c>
      <c r="Z28">
        <v>120</v>
      </c>
      <c r="AA28" s="1">
        <f>AA$4+VLOOKUP(Lanes!AB28,Data,5,FALSE)*(Z28/180)</f>
        <v>171.74515418738781</v>
      </c>
      <c r="AB28">
        <f t="shared" si="23"/>
        <v>6</v>
      </c>
      <c r="AC28" s="1">
        <f t="shared" si="10"/>
        <v>-39.049085456640356</v>
      </c>
      <c r="AD28" s="1">
        <f t="shared" si="11"/>
        <v>22.544999999999973</v>
      </c>
      <c r="AE28">
        <v>120</v>
      </c>
      <c r="AF28" s="1">
        <f>AF$4+VLOOKUP(Lanes!AG28,Data,5,FALSE)*(AE28/180)</f>
        <v>174.30031621230751</v>
      </c>
      <c r="AG28">
        <f t="shared" si="24"/>
        <v>7</v>
      </c>
      <c r="AH28" s="1">
        <f t="shared" si="12"/>
        <v>-40.105636449257368</v>
      </c>
      <c r="AI28" s="1">
        <f t="shared" si="13"/>
        <v>23.154999999999973</v>
      </c>
      <c r="AJ28">
        <v>120</v>
      </c>
      <c r="AK28" s="1">
        <f>AK$4+VLOOKUP(Lanes!AL28,Data,5,FALSE)*(AJ28/180)</f>
        <v>176.8554782372272</v>
      </c>
      <c r="AL28">
        <f t="shared" si="25"/>
        <v>8</v>
      </c>
      <c r="AM28" s="1">
        <f t="shared" si="14"/>
        <v>-41.16218744187438</v>
      </c>
      <c r="AN28" s="1">
        <f t="shared" si="15"/>
        <v>23.764999999999972</v>
      </c>
      <c r="AO28">
        <v>120</v>
      </c>
      <c r="AP28" s="1">
        <f>AP$4+VLOOKUP(Lanes!AQ28,Data,5,FALSE)*(AO28/180)</f>
        <v>179.4106402621469</v>
      </c>
      <c r="AQ28">
        <f t="shared" si="26"/>
        <v>9</v>
      </c>
      <c r="AR28" s="1">
        <f t="shared" si="16"/>
        <v>-42.218738434491378</v>
      </c>
      <c r="AS28" s="1">
        <f t="shared" si="17"/>
        <v>24.374999999999989</v>
      </c>
      <c r="AX28">
        <v>0</v>
      </c>
      <c r="AY28">
        <f>AY24-1.22</f>
        <v>-45.089999999999996</v>
      </c>
    </row>
    <row r="29" spans="1:51" x14ac:dyDescent="0.2">
      <c r="A29">
        <v>125</v>
      </c>
      <c r="B29" s="1">
        <f>B$4+VLOOKUP(Lanes!C29,Data,5,FALSE)*(A29/180)</f>
        <v>162.38931673207222</v>
      </c>
      <c r="C29">
        <f t="shared" si="18"/>
        <v>1</v>
      </c>
      <c r="D29" s="1">
        <f t="shared" si="0"/>
        <v>-31.938738206827786</v>
      </c>
      <c r="E29" s="1">
        <f t="shared" si="1"/>
        <v>22.363745253327291</v>
      </c>
      <c r="F29">
        <v>125</v>
      </c>
      <c r="G29" s="1">
        <f>G$4+VLOOKUP(Lanes!H29,Data,5,FALSE)*(F29/180)</f>
        <v>165.05094384136356</v>
      </c>
      <c r="H29">
        <f t="shared" si="19"/>
        <v>2</v>
      </c>
      <c r="I29" s="1">
        <f t="shared" si="2"/>
        <v>-32.938103700860367</v>
      </c>
      <c r="J29" s="1">
        <f t="shared" si="3"/>
        <v>23.063508505675554</v>
      </c>
      <c r="K29">
        <v>125</v>
      </c>
      <c r="L29" s="1">
        <f>L$4+VLOOKUP(Lanes!M29,Data,5,FALSE)*(K29/180)</f>
        <v>167.71257095065494</v>
      </c>
      <c r="M29">
        <f t="shared" si="20"/>
        <v>3</v>
      </c>
      <c r="N29" s="1">
        <f t="shared" si="4"/>
        <v>-33.937469194892927</v>
      </c>
      <c r="O29" s="1">
        <f t="shared" si="5"/>
        <v>23.763271758023841</v>
      </c>
      <c r="P29">
        <v>125</v>
      </c>
      <c r="Q29" s="1">
        <f>Q$4+VLOOKUP(Lanes!R29,Data,5,FALSE)*(P29/180)</f>
        <v>170.37419805994628</v>
      </c>
      <c r="R29">
        <f t="shared" si="21"/>
        <v>4</v>
      </c>
      <c r="S29" s="1">
        <f t="shared" si="6"/>
        <v>-34.936834688925494</v>
      </c>
      <c r="T29" s="1">
        <f t="shared" si="7"/>
        <v>24.463035010372117</v>
      </c>
      <c r="U29">
        <v>125</v>
      </c>
      <c r="V29" s="1">
        <f>V$4+VLOOKUP(Lanes!W29,Data,5,FALSE)*(U29/180)</f>
        <v>173.03582516923763</v>
      </c>
      <c r="W29">
        <f t="shared" si="22"/>
        <v>5</v>
      </c>
      <c r="X29" s="1">
        <f t="shared" si="8"/>
        <v>-35.936200182958061</v>
      </c>
      <c r="Y29" s="1">
        <f t="shared" si="9"/>
        <v>25.162798262720393</v>
      </c>
      <c r="Z29">
        <v>125</v>
      </c>
      <c r="AA29" s="1">
        <f>AA$4+VLOOKUP(Lanes!AB29,Data,5,FALSE)*(Z29/180)</f>
        <v>175.697452278529</v>
      </c>
      <c r="AB29">
        <f t="shared" si="23"/>
        <v>6</v>
      </c>
      <c r="AC29" s="1">
        <f t="shared" si="10"/>
        <v>-36.935565676990635</v>
      </c>
      <c r="AD29" s="1">
        <f t="shared" si="11"/>
        <v>25.86256151506867</v>
      </c>
      <c r="AE29">
        <v>125</v>
      </c>
      <c r="AF29" s="1">
        <f>AF$4+VLOOKUP(Lanes!AG29,Data,5,FALSE)*(AE29/180)</f>
        <v>178.35907938782032</v>
      </c>
      <c r="AG29">
        <f t="shared" si="24"/>
        <v>7</v>
      </c>
      <c r="AH29" s="1">
        <f t="shared" si="12"/>
        <v>-37.934931171023216</v>
      </c>
      <c r="AI29" s="1">
        <f t="shared" si="13"/>
        <v>26.562324767416928</v>
      </c>
      <c r="AJ29">
        <v>125</v>
      </c>
      <c r="AK29" s="1">
        <f>AK$4+VLOOKUP(Lanes!AL29,Data,5,FALSE)*(AJ29/180)</f>
        <v>181.02070649711169</v>
      </c>
      <c r="AL29">
        <f t="shared" si="25"/>
        <v>8</v>
      </c>
      <c r="AM29" s="1">
        <f t="shared" si="14"/>
        <v>-38.934296665055768</v>
      </c>
      <c r="AN29" s="1">
        <f t="shared" si="15"/>
        <v>27.262088019765219</v>
      </c>
      <c r="AO29">
        <v>125</v>
      </c>
      <c r="AP29" s="1">
        <f>AP$4+VLOOKUP(Lanes!AQ29,Data,5,FALSE)*(AO29/180)</f>
        <v>183.68233360640303</v>
      </c>
      <c r="AQ29">
        <f t="shared" si="26"/>
        <v>9</v>
      </c>
      <c r="AR29" s="1">
        <f t="shared" si="16"/>
        <v>-39.933662159088342</v>
      </c>
      <c r="AS29" s="1">
        <f t="shared" si="17"/>
        <v>27.961851272113496</v>
      </c>
      <c r="AX29" t="s">
        <v>65</v>
      </c>
    </row>
    <row r="30" spans="1:51" x14ac:dyDescent="0.2">
      <c r="A30">
        <v>130</v>
      </c>
      <c r="B30" s="1">
        <f>B$4+VLOOKUP(Lanes!C30,Data,5,FALSE)*(A30/180)</f>
        <v>165.8092894013551</v>
      </c>
      <c r="C30">
        <f t="shared" si="18"/>
        <v>1</v>
      </c>
      <c r="D30" s="1">
        <f t="shared" si="0"/>
        <v>-29.868072837208967</v>
      </c>
      <c r="E30" s="1">
        <f t="shared" si="1"/>
        <v>25.062288901678158</v>
      </c>
      <c r="F30">
        <v>130</v>
      </c>
      <c r="G30" s="1">
        <f>G$4+VLOOKUP(Lanes!H30,Data,5,FALSE)*(F30/180)</f>
        <v>168.57738159501812</v>
      </c>
      <c r="H30">
        <f t="shared" si="19"/>
        <v>2</v>
      </c>
      <c r="I30" s="1">
        <f t="shared" si="2"/>
        <v>-30.802647057814099</v>
      </c>
      <c r="J30" s="1">
        <f t="shared" si="3"/>
        <v>25.846489785495763</v>
      </c>
      <c r="K30">
        <v>130</v>
      </c>
      <c r="L30" s="1">
        <f>L$4+VLOOKUP(Lanes!M30,Data,5,FALSE)*(K30/180)</f>
        <v>171.34547378868115</v>
      </c>
      <c r="M30">
        <f t="shared" si="20"/>
        <v>3</v>
      </c>
      <c r="N30" s="1">
        <f t="shared" si="4"/>
        <v>-31.737221278419248</v>
      </c>
      <c r="O30" s="1">
        <f t="shared" si="5"/>
        <v>26.630690669313339</v>
      </c>
      <c r="P30">
        <v>130</v>
      </c>
      <c r="Q30" s="1">
        <f>Q$4+VLOOKUP(Lanes!R30,Data,5,FALSE)*(P30/180)</f>
        <v>174.11356598234414</v>
      </c>
      <c r="R30">
        <f t="shared" si="21"/>
        <v>4</v>
      </c>
      <c r="S30" s="1">
        <f t="shared" si="6"/>
        <v>-32.671795499024412</v>
      </c>
      <c r="T30" s="1">
        <f t="shared" si="7"/>
        <v>27.414891553130904</v>
      </c>
      <c r="U30">
        <v>130</v>
      </c>
      <c r="V30" s="1">
        <f>V$4+VLOOKUP(Lanes!W30,Data,5,FALSE)*(U30/180)</f>
        <v>176.88165817600714</v>
      </c>
      <c r="W30">
        <f t="shared" si="22"/>
        <v>5</v>
      </c>
      <c r="X30" s="1">
        <f t="shared" si="8"/>
        <v>-33.606369719629562</v>
      </c>
      <c r="Y30" s="1">
        <f t="shared" si="9"/>
        <v>28.199092436948479</v>
      </c>
      <c r="Z30">
        <v>130</v>
      </c>
      <c r="AA30" s="1">
        <f>AA$4+VLOOKUP(Lanes!AB30,Data,5,FALSE)*(Z30/180)</f>
        <v>179.64975036967013</v>
      </c>
      <c r="AB30">
        <f t="shared" si="23"/>
        <v>6</v>
      </c>
      <c r="AC30" s="1">
        <f t="shared" si="10"/>
        <v>-34.540943940234733</v>
      </c>
      <c r="AD30" s="1">
        <f t="shared" si="11"/>
        <v>28.983293320766041</v>
      </c>
      <c r="AE30">
        <v>130</v>
      </c>
      <c r="AF30" s="1">
        <f>AF$4+VLOOKUP(Lanes!AG30,Data,5,FALSE)*(AE30/180)</f>
        <v>182.41784256333315</v>
      </c>
      <c r="AG30">
        <f t="shared" si="24"/>
        <v>7</v>
      </c>
      <c r="AH30" s="1">
        <f t="shared" si="12"/>
        <v>-35.475518160839869</v>
      </c>
      <c r="AI30" s="1">
        <f t="shared" si="13"/>
        <v>29.767494204583635</v>
      </c>
      <c r="AJ30">
        <v>130</v>
      </c>
      <c r="AK30" s="1">
        <f>AK$4+VLOOKUP(Lanes!AL30,Data,5,FALSE)*(AJ30/180)</f>
        <v>185.18593475699615</v>
      </c>
      <c r="AL30">
        <f t="shared" si="25"/>
        <v>8</v>
      </c>
      <c r="AM30" s="1">
        <f t="shared" si="14"/>
        <v>-36.410092381445018</v>
      </c>
      <c r="AN30" s="1">
        <f t="shared" si="15"/>
        <v>30.55169508840121</v>
      </c>
      <c r="AO30">
        <v>130</v>
      </c>
      <c r="AP30" s="1">
        <f>AP$4+VLOOKUP(Lanes!AQ30,Data,5,FALSE)*(AO30/180)</f>
        <v>187.95402695065917</v>
      </c>
      <c r="AQ30">
        <f t="shared" si="26"/>
        <v>9</v>
      </c>
      <c r="AR30" s="1">
        <f t="shared" si="16"/>
        <v>-37.344666602050161</v>
      </c>
      <c r="AS30" s="1">
        <f t="shared" si="17"/>
        <v>31.335895972218804</v>
      </c>
      <c r="AX30" s="3" t="s">
        <v>0</v>
      </c>
      <c r="AY30" s="3" t="s">
        <v>1</v>
      </c>
    </row>
    <row r="31" spans="1:51" x14ac:dyDescent="0.2">
      <c r="A31">
        <v>135</v>
      </c>
      <c r="B31" s="1">
        <f>B$4+VLOOKUP(Lanes!C31,Data,5,FALSE)*(A31/180)</f>
        <v>169.22926207063801</v>
      </c>
      <c r="C31">
        <f t="shared" si="18"/>
        <v>1</v>
      </c>
      <c r="D31" s="1">
        <f t="shared" si="0"/>
        <v>-27.570093398463477</v>
      </c>
      <c r="E31" s="1">
        <f t="shared" si="1"/>
        <v>27.570093398463499</v>
      </c>
      <c r="F31">
        <v>135</v>
      </c>
      <c r="G31" s="1">
        <f>G$4+VLOOKUP(Lanes!H31,Data,5,FALSE)*(F31/180)</f>
        <v>172.10381934867266</v>
      </c>
      <c r="H31">
        <f t="shared" si="19"/>
        <v>2</v>
      </c>
      <c r="I31" s="1">
        <f t="shared" si="2"/>
        <v>-28.432763671511079</v>
      </c>
      <c r="J31" s="1">
        <f t="shared" si="3"/>
        <v>28.432763671511076</v>
      </c>
      <c r="K31">
        <v>135</v>
      </c>
      <c r="L31" s="1">
        <f>L$4+VLOOKUP(Lanes!M31,Data,5,FALSE)*(K31/180)</f>
        <v>174.97837662670733</v>
      </c>
      <c r="M31">
        <f t="shared" si="20"/>
        <v>3</v>
      </c>
      <c r="N31" s="1">
        <f t="shared" si="4"/>
        <v>-29.295433944558667</v>
      </c>
      <c r="O31" s="1">
        <f t="shared" si="5"/>
        <v>29.29543394455866</v>
      </c>
      <c r="P31">
        <v>135</v>
      </c>
      <c r="Q31" s="1">
        <f>Q$4+VLOOKUP(Lanes!R31,Data,5,FALSE)*(P31/180)</f>
        <v>177.85293390474197</v>
      </c>
      <c r="R31">
        <f t="shared" si="21"/>
        <v>4</v>
      </c>
      <c r="S31" s="1">
        <f t="shared" si="6"/>
        <v>-30.158104217606269</v>
      </c>
      <c r="T31" s="1">
        <f t="shared" si="7"/>
        <v>30.158104217606233</v>
      </c>
      <c r="U31">
        <v>135</v>
      </c>
      <c r="V31" s="1">
        <f>V$4+VLOOKUP(Lanes!W31,Data,5,FALSE)*(U31/180)</f>
        <v>180.72749118277665</v>
      </c>
      <c r="W31">
        <f t="shared" si="22"/>
        <v>5</v>
      </c>
      <c r="X31" s="1">
        <f t="shared" si="8"/>
        <v>-31.020774490653839</v>
      </c>
      <c r="Y31" s="1">
        <f t="shared" si="9"/>
        <v>31.020774490653835</v>
      </c>
      <c r="Z31">
        <v>135</v>
      </c>
      <c r="AA31" s="1">
        <f>AA$4+VLOOKUP(Lanes!AB31,Data,5,FALSE)*(Z31/180)</f>
        <v>183.60204846081132</v>
      </c>
      <c r="AB31">
        <f t="shared" si="23"/>
        <v>6</v>
      </c>
      <c r="AC31" s="1">
        <f t="shared" si="10"/>
        <v>-31.883444763701412</v>
      </c>
      <c r="AD31" s="1">
        <f t="shared" si="11"/>
        <v>31.883444763701437</v>
      </c>
      <c r="AE31">
        <v>135</v>
      </c>
      <c r="AF31" s="1">
        <f>AF$4+VLOOKUP(Lanes!AG31,Data,5,FALSE)*(AE31/180)</f>
        <v>186.47660573884596</v>
      </c>
      <c r="AG31">
        <f t="shared" si="24"/>
        <v>7</v>
      </c>
      <c r="AH31" s="1">
        <f t="shared" si="12"/>
        <v>-32.746115036749018</v>
      </c>
      <c r="AI31" s="1">
        <f t="shared" si="13"/>
        <v>32.746115036749011</v>
      </c>
      <c r="AJ31">
        <v>135</v>
      </c>
      <c r="AK31" s="1">
        <f>AK$4+VLOOKUP(Lanes!AL31,Data,5,FALSE)*(AJ31/180)</f>
        <v>189.35116301688061</v>
      </c>
      <c r="AL31">
        <f t="shared" si="25"/>
        <v>8</v>
      </c>
      <c r="AM31" s="1">
        <f t="shared" si="14"/>
        <v>-33.608785309796616</v>
      </c>
      <c r="AN31" s="1">
        <f t="shared" si="15"/>
        <v>33.608785309796581</v>
      </c>
      <c r="AO31">
        <v>135</v>
      </c>
      <c r="AP31" s="1">
        <f>AP$4+VLOOKUP(Lanes!AQ31,Data,5,FALSE)*(AO31/180)</f>
        <v>192.22572029491528</v>
      </c>
      <c r="AQ31">
        <f t="shared" si="26"/>
        <v>9</v>
      </c>
      <c r="AR31" s="1">
        <f t="shared" si="16"/>
        <v>-34.471455582844186</v>
      </c>
      <c r="AS31" s="1">
        <f t="shared" si="17"/>
        <v>34.471455582844186</v>
      </c>
      <c r="AX31">
        <v>-23.11</v>
      </c>
      <c r="AY31">
        <f>AY27-1.22</f>
        <v>-46.309999999999995</v>
      </c>
    </row>
    <row r="32" spans="1:51" x14ac:dyDescent="0.2">
      <c r="A32">
        <v>140</v>
      </c>
      <c r="B32" s="1">
        <f>B$4+VLOOKUP(Lanes!C32,Data,5,FALSE)*(A32/180)</f>
        <v>172.6492347399209</v>
      </c>
      <c r="C32">
        <f t="shared" si="18"/>
        <v>1</v>
      </c>
      <c r="D32" s="1">
        <f t="shared" si="0"/>
        <v>-25.062288901678176</v>
      </c>
      <c r="E32" s="1">
        <f t="shared" si="1"/>
        <v>29.868072837208949</v>
      </c>
      <c r="F32">
        <v>140</v>
      </c>
      <c r="G32" s="1">
        <f>G$4+VLOOKUP(Lanes!H32,Data,5,FALSE)*(F32/180)</f>
        <v>175.63025710232722</v>
      </c>
      <c r="H32">
        <f t="shared" si="19"/>
        <v>2</v>
      </c>
      <c r="I32" s="1">
        <f t="shared" si="2"/>
        <v>-25.846489785495738</v>
      </c>
      <c r="J32" s="1">
        <f t="shared" si="3"/>
        <v>30.802647057814109</v>
      </c>
      <c r="K32">
        <v>140</v>
      </c>
      <c r="L32" s="1">
        <f>L$4+VLOOKUP(Lanes!M32,Data,5,FALSE)*(K32/180)</f>
        <v>178.61127946473351</v>
      </c>
      <c r="M32">
        <f t="shared" si="20"/>
        <v>3</v>
      </c>
      <c r="N32" s="1">
        <f t="shared" si="4"/>
        <v>-26.630690669313346</v>
      </c>
      <c r="O32" s="1">
        <f t="shared" si="5"/>
        <v>31.737221278419241</v>
      </c>
      <c r="P32">
        <v>140</v>
      </c>
      <c r="Q32" s="1">
        <f>Q$4+VLOOKUP(Lanes!R32,Data,5,FALSE)*(P32/180)</f>
        <v>181.59230182713983</v>
      </c>
      <c r="R32">
        <f t="shared" si="21"/>
        <v>4</v>
      </c>
      <c r="S32" s="1">
        <f t="shared" si="6"/>
        <v>-27.414891553130907</v>
      </c>
      <c r="T32" s="1">
        <f t="shared" si="7"/>
        <v>32.671795499024405</v>
      </c>
      <c r="U32">
        <v>140</v>
      </c>
      <c r="V32" s="1">
        <f>V$4+VLOOKUP(Lanes!W32,Data,5,FALSE)*(U32/180)</f>
        <v>184.57332418954616</v>
      </c>
      <c r="W32">
        <f t="shared" si="22"/>
        <v>5</v>
      </c>
      <c r="X32" s="1">
        <f t="shared" si="8"/>
        <v>-28.199092436948487</v>
      </c>
      <c r="Y32" s="1">
        <f t="shared" si="9"/>
        <v>33.606369719629562</v>
      </c>
      <c r="Z32">
        <v>140</v>
      </c>
      <c r="AA32" s="1">
        <f>AA$4+VLOOKUP(Lanes!AB32,Data,5,FALSE)*(Z32/180)</f>
        <v>187.55434655195245</v>
      </c>
      <c r="AB32">
        <f t="shared" si="23"/>
        <v>6</v>
      </c>
      <c r="AC32" s="1">
        <f t="shared" si="10"/>
        <v>-28.983293320766077</v>
      </c>
      <c r="AD32" s="1">
        <f t="shared" si="11"/>
        <v>34.540943940234698</v>
      </c>
      <c r="AE32">
        <v>140</v>
      </c>
      <c r="AF32" s="1">
        <f>AF$4+VLOOKUP(Lanes!AG32,Data,5,FALSE)*(AE32/180)</f>
        <v>190.53536891435877</v>
      </c>
      <c r="AG32">
        <f t="shared" si="24"/>
        <v>7</v>
      </c>
      <c r="AH32" s="1">
        <f t="shared" si="12"/>
        <v>-29.767494204583642</v>
      </c>
      <c r="AI32" s="1">
        <f t="shared" si="13"/>
        <v>35.475518160839862</v>
      </c>
      <c r="AJ32">
        <v>140</v>
      </c>
      <c r="AK32" s="1">
        <f>AK$4+VLOOKUP(Lanes!AL32,Data,5,FALSE)*(AJ32/180)</f>
        <v>193.51639127676509</v>
      </c>
      <c r="AL32">
        <f t="shared" si="25"/>
        <v>8</v>
      </c>
      <c r="AM32" s="1">
        <f t="shared" si="14"/>
        <v>-30.551695088401218</v>
      </c>
      <c r="AN32" s="1">
        <f t="shared" si="15"/>
        <v>36.410092381445018</v>
      </c>
      <c r="AO32">
        <v>140</v>
      </c>
      <c r="AP32" s="1">
        <f>AP$4+VLOOKUP(Lanes!AQ32,Data,5,FALSE)*(AO32/180)</f>
        <v>196.49741363917138</v>
      </c>
      <c r="AQ32">
        <f t="shared" si="26"/>
        <v>9</v>
      </c>
      <c r="AR32" s="1">
        <f t="shared" si="16"/>
        <v>-31.335895972218811</v>
      </c>
      <c r="AS32" s="1">
        <f t="shared" si="17"/>
        <v>37.344666602050154</v>
      </c>
      <c r="AX32">
        <v>0</v>
      </c>
      <c r="AY32">
        <f>AY28-1.22</f>
        <v>-46.309999999999995</v>
      </c>
    </row>
    <row r="33" spans="1:51" x14ac:dyDescent="0.2">
      <c r="A33">
        <v>145</v>
      </c>
      <c r="B33" s="1">
        <f>B$4+VLOOKUP(Lanes!C33,Data,5,FALSE)*(A33/180)</f>
        <v>176.06920740920378</v>
      </c>
      <c r="C33">
        <f t="shared" si="18"/>
        <v>1</v>
      </c>
      <c r="D33" s="1">
        <f t="shared" si="0"/>
        <v>-22.363745253327281</v>
      </c>
      <c r="E33" s="1">
        <f t="shared" si="1"/>
        <v>31.938738206827797</v>
      </c>
      <c r="F33">
        <v>145</v>
      </c>
      <c r="G33" s="1">
        <f>G$4+VLOOKUP(Lanes!H33,Data,5,FALSE)*(F33/180)</f>
        <v>179.15669485598175</v>
      </c>
      <c r="H33">
        <f t="shared" si="19"/>
        <v>2</v>
      </c>
      <c r="I33" s="1">
        <f t="shared" si="2"/>
        <v>-23.063508505675557</v>
      </c>
      <c r="J33" s="1">
        <f t="shared" si="3"/>
        <v>32.938103700860367</v>
      </c>
      <c r="K33">
        <v>145</v>
      </c>
      <c r="L33" s="1">
        <f>L$4+VLOOKUP(Lanes!M33,Data,5,FALSE)*(K33/180)</f>
        <v>182.24418230275973</v>
      </c>
      <c r="M33">
        <f t="shared" si="20"/>
        <v>3</v>
      </c>
      <c r="N33" s="1">
        <f t="shared" si="4"/>
        <v>-23.763271758023834</v>
      </c>
      <c r="O33" s="1">
        <f t="shared" si="5"/>
        <v>33.937469194892934</v>
      </c>
      <c r="P33">
        <v>145</v>
      </c>
      <c r="Q33" s="1">
        <f>Q$4+VLOOKUP(Lanes!R33,Data,5,FALSE)*(P33/180)</f>
        <v>185.3316697495377</v>
      </c>
      <c r="R33">
        <f t="shared" si="21"/>
        <v>4</v>
      </c>
      <c r="S33" s="1">
        <f t="shared" si="6"/>
        <v>-24.46303501037211</v>
      </c>
      <c r="T33" s="1">
        <f t="shared" si="7"/>
        <v>34.936834688925501</v>
      </c>
      <c r="U33">
        <v>145</v>
      </c>
      <c r="V33" s="1">
        <f>V$4+VLOOKUP(Lanes!W33,Data,5,FALSE)*(U33/180)</f>
        <v>188.41915719631567</v>
      </c>
      <c r="W33">
        <f t="shared" si="22"/>
        <v>5</v>
      </c>
      <c r="X33" s="1">
        <f t="shared" si="8"/>
        <v>-25.162798262720383</v>
      </c>
      <c r="Y33" s="1">
        <f t="shared" si="9"/>
        <v>35.936200182958075</v>
      </c>
      <c r="Z33">
        <v>145</v>
      </c>
      <c r="AA33" s="1">
        <f>AA$4+VLOOKUP(Lanes!AB33,Data,5,FALSE)*(Z33/180)</f>
        <v>191.50664464309364</v>
      </c>
      <c r="AB33">
        <f t="shared" si="23"/>
        <v>6</v>
      </c>
      <c r="AC33" s="1">
        <f t="shared" si="10"/>
        <v>-25.862561515068645</v>
      </c>
      <c r="AD33" s="1">
        <f t="shared" si="11"/>
        <v>36.935565676990649</v>
      </c>
      <c r="AE33">
        <v>145</v>
      </c>
      <c r="AF33" s="1">
        <f>AF$4+VLOOKUP(Lanes!AG33,Data,5,FALSE)*(AE33/180)</f>
        <v>194.59413208987161</v>
      </c>
      <c r="AG33">
        <f t="shared" si="24"/>
        <v>7</v>
      </c>
      <c r="AH33" s="1">
        <f t="shared" si="12"/>
        <v>-26.562324767416918</v>
      </c>
      <c r="AI33" s="1">
        <f t="shared" si="13"/>
        <v>37.934931171023223</v>
      </c>
      <c r="AJ33">
        <v>145</v>
      </c>
      <c r="AK33" s="1">
        <f>AK$4+VLOOKUP(Lanes!AL33,Data,5,FALSE)*(AJ33/180)</f>
        <v>197.68161953664958</v>
      </c>
      <c r="AL33">
        <f t="shared" si="25"/>
        <v>8</v>
      </c>
      <c r="AM33" s="1">
        <f t="shared" si="14"/>
        <v>-27.262088019765194</v>
      </c>
      <c r="AN33" s="1">
        <f t="shared" si="15"/>
        <v>38.93429666505579</v>
      </c>
      <c r="AO33">
        <v>145</v>
      </c>
      <c r="AP33" s="1">
        <f>AP$4+VLOOKUP(Lanes!AQ33,Data,5,FALSE)*(AO33/180)</f>
        <v>200.76910698342752</v>
      </c>
      <c r="AQ33">
        <f t="shared" si="26"/>
        <v>9</v>
      </c>
      <c r="AR33" s="1">
        <f t="shared" si="16"/>
        <v>-27.961851272113485</v>
      </c>
      <c r="AS33" s="1">
        <f t="shared" si="17"/>
        <v>39.93366215908835</v>
      </c>
      <c r="AX33" t="s">
        <v>66</v>
      </c>
    </row>
    <row r="34" spans="1:51" x14ac:dyDescent="0.2">
      <c r="A34">
        <v>150</v>
      </c>
      <c r="B34" s="1">
        <f>B$4+VLOOKUP(Lanes!C34,Data,5,FALSE)*(A34/180)</f>
        <v>179.48918007848667</v>
      </c>
      <c r="C34">
        <f t="shared" si="18"/>
        <v>1</v>
      </c>
      <c r="D34" s="1">
        <f t="shared" si="0"/>
        <v>-19.494999999999997</v>
      </c>
      <c r="E34" s="1">
        <f t="shared" si="1"/>
        <v>33.766330493555266</v>
      </c>
      <c r="F34">
        <v>150</v>
      </c>
      <c r="G34" s="1">
        <f>G$4+VLOOKUP(Lanes!H34,Data,5,FALSE)*(F34/180)</f>
        <v>182.68313260963629</v>
      </c>
      <c r="H34">
        <f t="shared" si="19"/>
        <v>2</v>
      </c>
      <c r="I34" s="1">
        <f t="shared" si="2"/>
        <v>-20.104999999999997</v>
      </c>
      <c r="J34" s="1">
        <f t="shared" si="3"/>
        <v>34.822881486172278</v>
      </c>
      <c r="K34">
        <v>150</v>
      </c>
      <c r="L34" s="1">
        <f>L$4+VLOOKUP(Lanes!M34,Data,5,FALSE)*(K34/180)</f>
        <v>185.87708514078594</v>
      </c>
      <c r="M34">
        <f t="shared" si="20"/>
        <v>3</v>
      </c>
      <c r="N34" s="1">
        <f t="shared" si="4"/>
        <v>-20.714999999999982</v>
      </c>
      <c r="O34" s="1">
        <f t="shared" si="5"/>
        <v>35.879432478789305</v>
      </c>
      <c r="P34">
        <v>150</v>
      </c>
      <c r="Q34" s="1">
        <f>Q$4+VLOOKUP(Lanes!R34,Data,5,FALSE)*(P34/180)</f>
        <v>189.07103767193553</v>
      </c>
      <c r="R34">
        <f t="shared" si="21"/>
        <v>4</v>
      </c>
      <c r="S34" s="1">
        <f t="shared" si="6"/>
        <v>-21.324999999999996</v>
      </c>
      <c r="T34" s="1">
        <f t="shared" si="7"/>
        <v>36.93598347140631</v>
      </c>
      <c r="U34">
        <v>150</v>
      </c>
      <c r="V34" s="1">
        <f>V$4+VLOOKUP(Lanes!W34,Data,5,FALSE)*(U34/180)</f>
        <v>192.26499020308518</v>
      </c>
      <c r="W34">
        <f t="shared" si="22"/>
        <v>5</v>
      </c>
      <c r="X34" s="1">
        <f t="shared" si="8"/>
        <v>-21.934999999999981</v>
      </c>
      <c r="Y34" s="1">
        <f t="shared" si="9"/>
        <v>37.992534464023336</v>
      </c>
      <c r="Z34">
        <v>150</v>
      </c>
      <c r="AA34" s="1">
        <f>AA$4+VLOOKUP(Lanes!AB34,Data,5,FALSE)*(Z34/180)</f>
        <v>195.45894273423477</v>
      </c>
      <c r="AB34">
        <f t="shared" si="23"/>
        <v>6</v>
      </c>
      <c r="AC34" s="1">
        <f t="shared" si="10"/>
        <v>-22.544999999999995</v>
      </c>
      <c r="AD34" s="1">
        <f t="shared" si="11"/>
        <v>39.049085456640341</v>
      </c>
      <c r="AE34">
        <v>150</v>
      </c>
      <c r="AF34" s="1">
        <f>AF$4+VLOOKUP(Lanes!AG34,Data,5,FALSE)*(AE34/180)</f>
        <v>198.65289526538442</v>
      </c>
      <c r="AG34">
        <f t="shared" si="24"/>
        <v>7</v>
      </c>
      <c r="AH34" s="1">
        <f t="shared" si="12"/>
        <v>-23.154999999999976</v>
      </c>
      <c r="AI34" s="1">
        <f t="shared" si="13"/>
        <v>40.105636449257361</v>
      </c>
      <c r="AJ34">
        <v>150</v>
      </c>
      <c r="AK34" s="1">
        <f>AK$4+VLOOKUP(Lanes!AL34,Data,5,FALSE)*(AJ34/180)</f>
        <v>201.84684779653401</v>
      </c>
      <c r="AL34">
        <f t="shared" si="25"/>
        <v>8</v>
      </c>
      <c r="AM34" s="1">
        <f t="shared" si="14"/>
        <v>-23.764999999999993</v>
      </c>
      <c r="AN34" s="1">
        <f t="shared" si="15"/>
        <v>41.162187441874366</v>
      </c>
      <c r="AO34">
        <v>150</v>
      </c>
      <c r="AP34" s="1">
        <f>AP$4+VLOOKUP(Lanes!AQ34,Data,5,FALSE)*(AO34/180)</f>
        <v>205.04080032768366</v>
      </c>
      <c r="AQ34">
        <f t="shared" si="26"/>
        <v>9</v>
      </c>
      <c r="AR34" s="1">
        <f t="shared" si="16"/>
        <v>-24.374999999999975</v>
      </c>
      <c r="AS34" s="1">
        <f t="shared" si="17"/>
        <v>42.218738434491392</v>
      </c>
      <c r="AX34" s="3" t="s">
        <v>0</v>
      </c>
      <c r="AY34" s="3" t="s">
        <v>1</v>
      </c>
    </row>
    <row r="35" spans="1:51" x14ac:dyDescent="0.2">
      <c r="A35">
        <v>155</v>
      </c>
      <c r="B35" s="1">
        <f>B$4+VLOOKUP(Lanes!C35,Data,5,FALSE)*(A35/180)</f>
        <v>182.90915274776955</v>
      </c>
      <c r="C35">
        <f t="shared" si="18"/>
        <v>1</v>
      </c>
      <c r="D35" s="1">
        <f t="shared" ref="D35:D66" si="27">(Straight-(IF(B35&gt;VLOOKUP(C35,Data,4,FALSE),1,B35/VLOOKUP(C35,Data,4,FALSE)))*Straight+(IF(B35&gt;VLOOKUP(C35,Data,9,FALSE),1,IF(B35&gt;VLOOKUP(C35,Data,8,FALSE),(B35-VLOOKUP(C35,Data,8,FALSE))/VLOOKUP(C35,Data,6,FALSE),0)))*Straight)-VLOOKUP(C35,Data,2,FALSE)*SIN(RADIANS(180*(IF(B35&gt;VLOOKUP(C35,Data,8,FALSE),1,IF(B35&gt;VLOOKUP(C35,Data,4,FALSE),(B35-VLOOKUP(C35,Data,4,FALSE))/VLOOKUP(C35,Data,5,FALSE),0)))+180*(IF(B35&gt;VLOOKUP(C35,Data,10,FALSE),1,IF(B35&gt;VLOOKUP(C35,Data,9,FALSE),(B35-VLOOKUP(C35,Data,9,FALSE))/VLOOKUP(C35,Data,7,FALSE),0)))))</f>
        <v>-16.477886025269875</v>
      </c>
      <c r="E35" s="1">
        <f t="shared" ref="E35:E66" si="28">-VLOOKUP(C35,Data,2,FALSE)*COS(RADIANS(180*(IF(B35&gt;VLOOKUP(C35,Data,8,FALSE),1,IF(B35&gt;VLOOKUP(C35,Data,4,FALSE),(B35-VLOOKUP(C35,Data,4,FALSE))/VLOOKUP(C35,Data,5,FALSE),0)))+180*(IF(B35&gt;VLOOKUP(C35,Data,10,FALSE),1,IF(B35&gt;VLOOKUP(C35,Data,9,FALSE),(B35-VLOOKUP(C35,Data,9,FALSE))/VLOOKUP(C35,Data,7,FALSE),0)))))</f>
        <v>35.336940616558984</v>
      </c>
      <c r="F35">
        <v>155</v>
      </c>
      <c r="G35" s="1">
        <f>G$4+VLOOKUP(Lanes!H35,Data,5,FALSE)*(F35/180)</f>
        <v>186.20957036329082</v>
      </c>
      <c r="H35">
        <f t="shared" si="19"/>
        <v>2</v>
      </c>
      <c r="I35" s="1">
        <f t="shared" ref="I35:I66" si="29">(Straight-(IF(G35&gt;VLOOKUP(H35,Data,4,FALSE),1,G35/VLOOKUP(H35,Data,4,FALSE)))*Straight+(IF(G35&gt;VLOOKUP(H35,Data,9,FALSE),1,IF(G35&gt;VLOOKUP(H35,Data,8,FALSE),(G35-VLOOKUP(H35,Data,8,FALSE))/VLOOKUP(H35,Data,6,FALSE),0)))*Straight)-VLOOKUP(H35,Data,2,FALSE)*SIN(RADIANS(180*(IF(G35&gt;VLOOKUP(H35,Data,8,FALSE),1,IF(G35&gt;VLOOKUP(H35,Data,4,FALSE),(G35-VLOOKUP(H35,Data,4,FALSE))/VLOOKUP(H35,Data,5,FALSE),0)))+180*(IF(G35&gt;VLOOKUP(H35,Data,10,FALSE),1,IF(G35&gt;VLOOKUP(H35,Data,9,FALSE),(G35-VLOOKUP(H35,Data,9,FALSE))/VLOOKUP(H35,Data,7,FALSE),0)))))</f>
        <v>-16.993480304593525</v>
      </c>
      <c r="J35" s="1">
        <f t="shared" ref="J35:J66" si="30">-VLOOKUP(H35,Data,2,FALSE)*COS(RADIANS(180*(IF(G35&gt;VLOOKUP(H35,Data,8,FALSE),1,IF(G35&gt;VLOOKUP(H35,Data,4,FALSE),(G35-VLOOKUP(H35,Data,4,FALSE))/VLOOKUP(H35,Data,5,FALSE),0)))+180*(IF(G35&gt;VLOOKUP(H35,Data,10,FALSE),1,IF(G35&gt;VLOOKUP(H35,Data,9,FALSE),(G35-VLOOKUP(H35,Data,9,FALSE))/VLOOKUP(H35,Data,7,FALSE),0)))))</f>
        <v>36.442636116743692</v>
      </c>
      <c r="K35">
        <v>155</v>
      </c>
      <c r="L35" s="1">
        <f>L$4+VLOOKUP(Lanes!M35,Data,5,FALSE)*(K35/180)</f>
        <v>189.50998797881212</v>
      </c>
      <c r="M35">
        <f t="shared" si="20"/>
        <v>3</v>
      </c>
      <c r="N35" s="1">
        <f t="shared" ref="N35:N66" si="31">(Straight-(IF(L35&gt;VLOOKUP(M35,Data,4,FALSE),1,L35/VLOOKUP(M35,Data,4,FALSE)))*Straight+(IF(L35&gt;VLOOKUP(M35,Data,9,FALSE),1,IF(L35&gt;VLOOKUP(M35,Data,8,FALSE),(L35-VLOOKUP(M35,Data,8,FALSE))/VLOOKUP(M35,Data,6,FALSE),0)))*Straight)-VLOOKUP(M35,Data,2,FALSE)*SIN(RADIANS(180*(IF(L35&gt;VLOOKUP(M35,Data,8,FALSE),1,IF(L35&gt;VLOOKUP(M35,Data,4,FALSE),(L35-VLOOKUP(M35,Data,4,FALSE))/VLOOKUP(M35,Data,5,FALSE),0)))+180*(IF(L35&gt;VLOOKUP(M35,Data,10,FALSE),1,IF(L35&gt;VLOOKUP(M35,Data,9,FALSE),(L35-VLOOKUP(M35,Data,9,FALSE))/VLOOKUP(M35,Data,7,FALSE),0)))))</f>
        <v>-17.50907458391718</v>
      </c>
      <c r="O35" s="1">
        <f t="shared" ref="O35:O66" si="32">-VLOOKUP(M35,Data,2,FALSE)*COS(RADIANS(180*(IF(L35&gt;VLOOKUP(M35,Data,8,FALSE),1,IF(L35&gt;VLOOKUP(M35,Data,4,FALSE),(L35-VLOOKUP(M35,Data,4,FALSE))/VLOOKUP(M35,Data,5,FALSE),0)))+180*(IF(L35&gt;VLOOKUP(M35,Data,10,FALSE),1,IF(L35&gt;VLOOKUP(M35,Data,9,FALSE),(L35-VLOOKUP(M35,Data,9,FALSE))/VLOOKUP(M35,Data,7,FALSE),0)))))</f>
        <v>37.548331616928408</v>
      </c>
      <c r="P35">
        <v>155</v>
      </c>
      <c r="Q35" s="1">
        <f>Q$4+VLOOKUP(Lanes!R35,Data,5,FALSE)*(P35/180)</f>
        <v>192.81040559433342</v>
      </c>
      <c r="R35">
        <f t="shared" si="21"/>
        <v>4</v>
      </c>
      <c r="S35" s="1">
        <f t="shared" ref="S35:S66" si="33">(Straight-(IF(Q35&gt;VLOOKUP(R35,Data,4,FALSE),1,Q35/VLOOKUP(R35,Data,4,FALSE)))*Straight+(IF(Q35&gt;VLOOKUP(R35,Data,9,FALSE),1,IF(Q35&gt;VLOOKUP(R35,Data,8,FALSE),(Q35-VLOOKUP(R35,Data,8,FALSE))/VLOOKUP(R35,Data,6,FALSE),0)))*Straight)-VLOOKUP(R35,Data,2,FALSE)*SIN(RADIANS(180*(IF(Q35&gt;VLOOKUP(R35,Data,8,FALSE),1,IF(Q35&gt;VLOOKUP(R35,Data,4,FALSE),(Q35-VLOOKUP(R35,Data,4,FALSE))/VLOOKUP(R35,Data,5,FALSE),0)))+180*(IF(Q35&gt;VLOOKUP(R35,Data,10,FALSE),1,IF(Q35&gt;VLOOKUP(R35,Data,9,FALSE),(Q35-VLOOKUP(R35,Data,9,FALSE))/VLOOKUP(R35,Data,7,FALSE),0)))))</f>
        <v>-18.024668863240816</v>
      </c>
      <c r="T35" s="1">
        <f t="shared" ref="T35:T66" si="34">-VLOOKUP(R35,Data,2,FALSE)*COS(RADIANS(180*(IF(Q35&gt;VLOOKUP(R35,Data,8,FALSE),1,IF(Q35&gt;VLOOKUP(R35,Data,4,FALSE),(Q35-VLOOKUP(R35,Data,4,FALSE))/VLOOKUP(R35,Data,5,FALSE),0)))+180*(IF(Q35&gt;VLOOKUP(R35,Data,10,FALSE),1,IF(Q35&gt;VLOOKUP(R35,Data,9,FALSE),(Q35-VLOOKUP(R35,Data,9,FALSE))/VLOOKUP(R35,Data,7,FALSE),0)))))</f>
        <v>38.654027117113131</v>
      </c>
      <c r="U35">
        <v>155</v>
      </c>
      <c r="V35" s="1">
        <f>V$4+VLOOKUP(Lanes!W35,Data,5,FALSE)*(U35/180)</f>
        <v>196.11082320985469</v>
      </c>
      <c r="W35">
        <f t="shared" si="22"/>
        <v>5</v>
      </c>
      <c r="X35" s="1">
        <f t="shared" ref="X35:X66" si="35">(Straight-(IF(V35&gt;VLOOKUP(W35,Data,4,FALSE),1,V35/VLOOKUP(W35,Data,4,FALSE)))*Straight+(IF(V35&gt;VLOOKUP(W35,Data,9,FALSE),1,IF(V35&gt;VLOOKUP(W35,Data,8,FALSE),(V35-VLOOKUP(W35,Data,8,FALSE))/VLOOKUP(W35,Data,6,FALSE),0)))*Straight)-VLOOKUP(W35,Data,2,FALSE)*SIN(RADIANS(180*(IF(V35&gt;VLOOKUP(W35,Data,8,FALSE),1,IF(V35&gt;VLOOKUP(W35,Data,4,FALSE),(V35-VLOOKUP(W35,Data,4,FALSE))/VLOOKUP(W35,Data,5,FALSE),0)))+180*(IF(V35&gt;VLOOKUP(W35,Data,10,FALSE),1,IF(V35&gt;VLOOKUP(W35,Data,9,FALSE),(V35-VLOOKUP(W35,Data,9,FALSE))/VLOOKUP(W35,Data,7,FALSE),0)))))</f>
        <v>-18.54026314256447</v>
      </c>
      <c r="Y35" s="1">
        <f t="shared" ref="Y35:Y66" si="36">-VLOOKUP(W35,Data,2,FALSE)*COS(RADIANS(180*(IF(V35&gt;VLOOKUP(W35,Data,8,FALSE),1,IF(V35&gt;VLOOKUP(W35,Data,4,FALSE),(V35-VLOOKUP(W35,Data,4,FALSE))/VLOOKUP(W35,Data,5,FALSE),0)))+180*(IF(V35&gt;VLOOKUP(W35,Data,10,FALSE),1,IF(V35&gt;VLOOKUP(W35,Data,9,FALSE),(V35-VLOOKUP(W35,Data,9,FALSE))/VLOOKUP(W35,Data,7,FALSE),0)))))</f>
        <v>39.75972261729784</v>
      </c>
      <c r="Z35">
        <v>155</v>
      </c>
      <c r="AA35" s="1">
        <f>AA$4+VLOOKUP(Lanes!AB35,Data,5,FALSE)*(Z35/180)</f>
        <v>199.41124082537596</v>
      </c>
      <c r="AB35">
        <f t="shared" si="23"/>
        <v>6</v>
      </c>
      <c r="AC35" s="1">
        <f t="shared" ref="AC35:AC66" si="37">(Straight-(IF(AA35&gt;VLOOKUP(AB35,Data,4,FALSE),1,AA35/VLOOKUP(AB35,Data,4,FALSE)))*Straight+(IF(AA35&gt;VLOOKUP(AB35,Data,9,FALSE),1,IF(AA35&gt;VLOOKUP(AB35,Data,8,FALSE),(AA35-VLOOKUP(AB35,Data,8,FALSE))/VLOOKUP(AB35,Data,6,FALSE),0)))*Straight)-VLOOKUP(AB35,Data,2,FALSE)*SIN(RADIANS(180*(IF(AA35&gt;VLOOKUP(AB35,Data,8,FALSE),1,IF(AA35&gt;VLOOKUP(AB35,Data,4,FALSE),(AA35-VLOOKUP(AB35,Data,4,FALSE))/VLOOKUP(AB35,Data,5,FALSE),0)))+180*(IF(AA35&gt;VLOOKUP(AB35,Data,10,FALSE),1,IF(AA35&gt;VLOOKUP(AB35,Data,9,FALSE),(AA35-VLOOKUP(AB35,Data,9,FALSE))/VLOOKUP(AB35,Data,7,FALSE),0)))))</f>
        <v>-19.055857421888138</v>
      </c>
      <c r="AD35" s="1">
        <f t="shared" ref="AD35:AD66" si="38">-VLOOKUP(AB35,Data,2,FALSE)*COS(RADIANS(180*(IF(AA35&gt;VLOOKUP(AB35,Data,8,FALSE),1,IF(AA35&gt;VLOOKUP(AB35,Data,4,FALSE),(AA35-VLOOKUP(AB35,Data,4,FALSE))/VLOOKUP(AB35,Data,5,FALSE),0)))+180*(IF(AA35&gt;VLOOKUP(AB35,Data,10,FALSE),1,IF(AA35&gt;VLOOKUP(AB35,Data,9,FALSE),(AA35-VLOOKUP(AB35,Data,9,FALSE))/VLOOKUP(AB35,Data,7,FALSE),0)))))</f>
        <v>40.865418117482541</v>
      </c>
      <c r="AE35">
        <v>155</v>
      </c>
      <c r="AF35" s="1">
        <f>AF$4+VLOOKUP(Lanes!AG35,Data,5,FALSE)*(AE35/180)</f>
        <v>202.71165844089722</v>
      </c>
      <c r="AG35">
        <f t="shared" si="24"/>
        <v>7</v>
      </c>
      <c r="AH35" s="1">
        <f t="shared" ref="AH35:AH66" si="39">(Straight-(IF(AF35&gt;VLOOKUP(AG35,Data,4,FALSE),1,AF35/VLOOKUP(AG35,Data,4,FALSE)))*Straight+(IF(AF35&gt;VLOOKUP(AG35,Data,9,FALSE),1,IF(AF35&gt;VLOOKUP(AG35,Data,8,FALSE),(AF35-VLOOKUP(AG35,Data,8,FALSE))/VLOOKUP(AG35,Data,6,FALSE),0)))*Straight)-VLOOKUP(AG35,Data,2,FALSE)*SIN(RADIANS(180*(IF(AF35&gt;VLOOKUP(AG35,Data,8,FALSE),1,IF(AF35&gt;VLOOKUP(AG35,Data,4,FALSE),(AF35-VLOOKUP(AG35,Data,4,FALSE))/VLOOKUP(AG35,Data,5,FALSE),0)))+180*(IF(AF35&gt;VLOOKUP(AG35,Data,10,FALSE),1,IF(AF35&gt;VLOOKUP(AG35,Data,9,FALSE),(AF35-VLOOKUP(AG35,Data,9,FALSE))/VLOOKUP(AG35,Data,7,FALSE),0)))))</f>
        <v>-19.571451701211792</v>
      </c>
      <c r="AI35" s="1">
        <f t="shared" ref="AI35:AI66" si="40">-VLOOKUP(AG35,Data,2,FALSE)*COS(RADIANS(180*(IF(AF35&gt;VLOOKUP(AG35,Data,8,FALSE),1,IF(AF35&gt;VLOOKUP(AG35,Data,4,FALSE),(AF35-VLOOKUP(AG35,Data,4,FALSE))/VLOOKUP(AG35,Data,5,FALSE),0)))+180*(IF(AF35&gt;VLOOKUP(AG35,Data,10,FALSE),1,IF(AF35&gt;VLOOKUP(AG35,Data,9,FALSE),(AF35-VLOOKUP(AG35,Data,9,FALSE))/VLOOKUP(AG35,Data,7,FALSE),0)))))</f>
        <v>41.971113617667257</v>
      </c>
      <c r="AJ35">
        <v>155</v>
      </c>
      <c r="AK35" s="1">
        <f>AK$4+VLOOKUP(Lanes!AL35,Data,5,FALSE)*(AJ35/180)</f>
        <v>206.01207605641849</v>
      </c>
      <c r="AL35">
        <f t="shared" si="25"/>
        <v>8</v>
      </c>
      <c r="AM35" s="1">
        <f t="shared" ref="AM35:AM66" si="41">(Straight-(IF(AK35&gt;VLOOKUP(AL35,Data,4,FALSE),1,AK35/VLOOKUP(AL35,Data,4,FALSE)))*Straight+(IF(AK35&gt;VLOOKUP(AL35,Data,9,FALSE),1,IF(AK35&gt;VLOOKUP(AL35,Data,8,FALSE),(AK35-VLOOKUP(AL35,Data,8,FALSE))/VLOOKUP(AL35,Data,6,FALSE),0)))*Straight)-VLOOKUP(AL35,Data,2,FALSE)*SIN(RADIANS(180*(IF(AK35&gt;VLOOKUP(AL35,Data,8,FALSE),1,IF(AK35&gt;VLOOKUP(AL35,Data,4,FALSE),(AK35-VLOOKUP(AL35,Data,4,FALSE))/VLOOKUP(AL35,Data,5,FALSE),0)))+180*(IF(AK35&gt;VLOOKUP(AL35,Data,10,FALSE),1,IF(AK35&gt;VLOOKUP(AL35,Data,9,FALSE),(AK35-VLOOKUP(AL35,Data,9,FALSE))/VLOOKUP(AL35,Data,7,FALSE),0)))))</f>
        <v>-20.087045980535425</v>
      </c>
      <c r="AN35" s="1">
        <f t="shared" ref="AN35:AN66" si="42">-VLOOKUP(AL35,Data,2,FALSE)*COS(RADIANS(180*(IF(AK35&gt;VLOOKUP(AL35,Data,8,FALSE),1,IF(AK35&gt;VLOOKUP(AL35,Data,4,FALSE),(AK35-VLOOKUP(AL35,Data,4,FALSE))/VLOOKUP(AL35,Data,5,FALSE),0)))+180*(IF(AK35&gt;VLOOKUP(AL35,Data,10,FALSE),1,IF(AK35&gt;VLOOKUP(AL35,Data,9,FALSE),(AK35-VLOOKUP(AL35,Data,9,FALSE))/VLOOKUP(AL35,Data,7,FALSE),0)))))</f>
        <v>43.07680911785198</v>
      </c>
      <c r="AO35">
        <v>155</v>
      </c>
      <c r="AP35" s="1">
        <f>AP$4+VLOOKUP(Lanes!AQ35,Data,5,FALSE)*(AO35/180)</f>
        <v>209.31249367193976</v>
      </c>
      <c r="AQ35">
        <f t="shared" si="26"/>
        <v>9</v>
      </c>
      <c r="AR35" s="1">
        <f t="shared" ref="AR35:AR66" si="43">(Straight-(IF(AP35&gt;VLOOKUP(AQ35,Data,4,FALSE),1,AP35/VLOOKUP(AQ35,Data,4,FALSE)))*Straight+(IF(AP35&gt;VLOOKUP(AQ35,Data,9,FALSE),1,IF(AP35&gt;VLOOKUP(AQ35,Data,8,FALSE),(AP35-VLOOKUP(AQ35,Data,8,FALSE))/VLOOKUP(AQ35,Data,6,FALSE),0)))*Straight)-VLOOKUP(AQ35,Data,2,FALSE)*SIN(RADIANS(180*(IF(AP35&gt;VLOOKUP(AQ35,Data,8,FALSE),1,IF(AP35&gt;VLOOKUP(AQ35,Data,4,FALSE),(AP35-VLOOKUP(AQ35,Data,4,FALSE))/VLOOKUP(AQ35,Data,5,FALSE),0)))+180*(IF(AP35&gt;VLOOKUP(AQ35,Data,10,FALSE),1,IF(AP35&gt;VLOOKUP(AQ35,Data,9,FALSE),(AP35-VLOOKUP(AQ35,Data,9,FALSE))/VLOOKUP(AQ35,Data,7,FALSE),0)))))</f>
        <v>-20.602640259859097</v>
      </c>
      <c r="AS35" s="1">
        <f t="shared" ref="AS35:AS66" si="44">-VLOOKUP(AQ35,Data,2,FALSE)*COS(RADIANS(180*(IF(AP35&gt;VLOOKUP(AQ35,Data,8,FALSE),1,IF(AP35&gt;VLOOKUP(AQ35,Data,4,FALSE),(AP35-VLOOKUP(AQ35,Data,4,FALSE))/VLOOKUP(AQ35,Data,5,FALSE),0)))+180*(IF(AP35&gt;VLOOKUP(AQ35,Data,10,FALSE),1,IF(AP35&gt;VLOOKUP(AQ35,Data,9,FALSE),(AP35-VLOOKUP(AQ35,Data,9,FALSE))/VLOOKUP(AQ35,Data,7,FALSE),0)))))</f>
        <v>44.182504618036681</v>
      </c>
      <c r="AX35">
        <v>-23.11</v>
      </c>
      <c r="AY35">
        <f>AY31-1.22</f>
        <v>-47.529999999999994</v>
      </c>
    </row>
    <row r="36" spans="1:51" x14ac:dyDescent="0.2">
      <c r="A36">
        <v>160</v>
      </c>
      <c r="B36" s="1">
        <f>B$4+VLOOKUP(Lanes!C36,Data,5,FALSE)*(A36/180)</f>
        <v>186.32912541705244</v>
      </c>
      <c r="C36">
        <f t="shared" si="18"/>
        <v>1</v>
      </c>
      <c r="D36" s="1">
        <f t="shared" si="27"/>
        <v>-13.33536538826783</v>
      </c>
      <c r="E36" s="1">
        <f t="shared" si="28"/>
        <v>36.638615284442565</v>
      </c>
      <c r="F36">
        <v>160</v>
      </c>
      <c r="G36" s="1">
        <f>G$4+VLOOKUP(Lanes!H36,Data,5,FALSE)*(F36/180)</f>
        <v>189.73600811694536</v>
      </c>
      <c r="H36">
        <f t="shared" si="19"/>
        <v>2</v>
      </c>
      <c r="I36" s="1">
        <f t="shared" si="29"/>
        <v>-13.752629963125164</v>
      </c>
      <c r="J36" s="1">
        <f t="shared" si="30"/>
        <v>37.785040281801372</v>
      </c>
      <c r="K36">
        <v>160</v>
      </c>
      <c r="L36" s="1">
        <f>L$4+VLOOKUP(Lanes!M36,Data,5,FALSE)*(K36/180)</f>
        <v>193.1428908168383</v>
      </c>
      <c r="M36">
        <f t="shared" si="20"/>
        <v>3</v>
      </c>
      <c r="N36" s="1">
        <f t="shared" si="31"/>
        <v>-14.169894537982479</v>
      </c>
      <c r="O36" s="1">
        <f t="shared" si="32"/>
        <v>38.931465279160179</v>
      </c>
      <c r="P36">
        <v>160</v>
      </c>
      <c r="Q36" s="1">
        <f>Q$4+VLOOKUP(Lanes!R36,Data,5,FALSE)*(P36/180)</f>
        <v>196.54977351673125</v>
      </c>
      <c r="R36">
        <f t="shared" si="21"/>
        <v>4</v>
      </c>
      <c r="S36" s="1">
        <f t="shared" si="33"/>
        <v>-14.587159112839776</v>
      </c>
      <c r="T36" s="1">
        <f t="shared" si="34"/>
        <v>40.077890276518986</v>
      </c>
      <c r="U36">
        <v>160</v>
      </c>
      <c r="V36" s="1">
        <f>V$4+VLOOKUP(Lanes!W36,Data,5,FALSE)*(U36/180)</f>
        <v>199.95665621662417</v>
      </c>
      <c r="W36">
        <f t="shared" si="22"/>
        <v>5</v>
      </c>
      <c r="X36" s="1">
        <f t="shared" si="35"/>
        <v>-15.004423687697093</v>
      </c>
      <c r="Y36" s="1">
        <f t="shared" si="36"/>
        <v>41.224315273877792</v>
      </c>
      <c r="Z36">
        <v>160</v>
      </c>
      <c r="AA36" s="1">
        <f>AA$4+VLOOKUP(Lanes!AB36,Data,5,FALSE)*(Z36/180)</f>
        <v>203.36353891651709</v>
      </c>
      <c r="AB36">
        <f t="shared" si="23"/>
        <v>6</v>
      </c>
      <c r="AC36" s="1">
        <f t="shared" si="37"/>
        <v>-15.421688262554408</v>
      </c>
      <c r="AD36" s="1">
        <f t="shared" si="38"/>
        <v>42.370740271236599</v>
      </c>
      <c r="AE36">
        <v>160</v>
      </c>
      <c r="AF36" s="1">
        <f>AF$4+VLOOKUP(Lanes!AG36,Data,5,FALSE)*(AE36/180)</f>
        <v>206.77042161641003</v>
      </c>
      <c r="AG36">
        <f t="shared" si="24"/>
        <v>7</v>
      </c>
      <c r="AH36" s="1">
        <f t="shared" si="39"/>
        <v>-15.838952837411707</v>
      </c>
      <c r="AI36" s="1">
        <f t="shared" si="40"/>
        <v>43.517165268595413</v>
      </c>
      <c r="AJ36">
        <v>160</v>
      </c>
      <c r="AK36" s="1">
        <f>AK$4+VLOOKUP(Lanes!AL36,Data,5,FALSE)*(AJ36/180)</f>
        <v>210.17730431630292</v>
      </c>
      <c r="AL36">
        <f t="shared" si="25"/>
        <v>8</v>
      </c>
      <c r="AM36" s="1">
        <f t="shared" si="41"/>
        <v>-16.256217412269059</v>
      </c>
      <c r="AN36" s="1">
        <f t="shared" si="42"/>
        <v>44.663590265954213</v>
      </c>
      <c r="AO36">
        <v>160</v>
      </c>
      <c r="AP36" s="1">
        <f>AP$4+VLOOKUP(Lanes!AQ36,Data,5,FALSE)*(AO36/180)</f>
        <v>213.58418701619587</v>
      </c>
      <c r="AQ36">
        <f t="shared" si="26"/>
        <v>9</v>
      </c>
      <c r="AR36" s="1">
        <f t="shared" si="43"/>
        <v>-16.673481987126355</v>
      </c>
      <c r="AS36" s="1">
        <f t="shared" si="44"/>
        <v>45.810015263313026</v>
      </c>
      <c r="AX36">
        <v>0</v>
      </c>
      <c r="AY36">
        <f>AY32-1.22</f>
        <v>-47.529999999999994</v>
      </c>
    </row>
    <row r="37" spans="1:51" x14ac:dyDescent="0.2">
      <c r="A37">
        <v>165</v>
      </c>
      <c r="B37" s="1">
        <f>B$4+VLOOKUP(Lanes!C37,Data,5,FALSE)*(A37/180)</f>
        <v>189.74909808633532</v>
      </c>
      <c r="C37">
        <f t="shared" si="18"/>
        <v>1</v>
      </c>
      <c r="D37" s="1">
        <f t="shared" si="27"/>
        <v>-10.091354568547313</v>
      </c>
      <c r="E37" s="1">
        <f t="shared" si="28"/>
        <v>37.661447967010766</v>
      </c>
      <c r="F37">
        <v>165</v>
      </c>
      <c r="G37" s="1">
        <f>G$4+VLOOKUP(Lanes!H37,Data,5,FALSE)*(F37/180)</f>
        <v>193.26244587059992</v>
      </c>
      <c r="H37">
        <f t="shared" si="19"/>
        <v>2</v>
      </c>
      <c r="I37" s="1">
        <f t="shared" si="29"/>
        <v>-10.40711380357237</v>
      </c>
      <c r="J37" s="1">
        <f t="shared" si="30"/>
        <v>38.839877475083433</v>
      </c>
      <c r="K37">
        <v>165</v>
      </c>
      <c r="L37" s="1">
        <f>L$4+VLOOKUP(Lanes!M37,Data,5,FALSE)*(K37/180)</f>
        <v>196.77579365486451</v>
      </c>
      <c r="M37">
        <f t="shared" si="20"/>
        <v>3</v>
      </c>
      <c r="N37" s="1">
        <f t="shared" si="31"/>
        <v>-10.722873038597445</v>
      </c>
      <c r="O37" s="1">
        <f t="shared" si="32"/>
        <v>40.018306983156094</v>
      </c>
      <c r="P37">
        <v>165</v>
      </c>
      <c r="Q37" s="1">
        <f>Q$4+VLOOKUP(Lanes!R37,Data,5,FALSE)*(P37/180)</f>
        <v>200.28914143912908</v>
      </c>
      <c r="R37">
        <f t="shared" si="21"/>
        <v>4</v>
      </c>
      <c r="S37" s="1">
        <f t="shared" si="33"/>
        <v>-11.03863227362254</v>
      </c>
      <c r="T37" s="1">
        <f t="shared" si="34"/>
        <v>41.196736491228755</v>
      </c>
      <c r="U37">
        <v>165</v>
      </c>
      <c r="V37" s="1">
        <f>V$4+VLOOKUP(Lanes!W37,Data,5,FALSE)*(U37/180)</f>
        <v>203.80248922339368</v>
      </c>
      <c r="W37">
        <f t="shared" si="22"/>
        <v>5</v>
      </c>
      <c r="X37" s="1">
        <f t="shared" si="35"/>
        <v>-11.354391508647597</v>
      </c>
      <c r="Y37" s="1">
        <f t="shared" si="36"/>
        <v>42.375165999301423</v>
      </c>
      <c r="Z37">
        <v>165</v>
      </c>
      <c r="AA37" s="1">
        <f>AA$4+VLOOKUP(Lanes!AB37,Data,5,FALSE)*(Z37/180)</f>
        <v>207.31583700765827</v>
      </c>
      <c r="AB37">
        <f t="shared" si="23"/>
        <v>6</v>
      </c>
      <c r="AC37" s="1">
        <f t="shared" si="37"/>
        <v>-11.670150743672632</v>
      </c>
      <c r="AD37" s="1">
        <f t="shared" si="38"/>
        <v>43.553595507374091</v>
      </c>
      <c r="AE37">
        <v>165</v>
      </c>
      <c r="AF37" s="1">
        <f>AF$4+VLOOKUP(Lanes!AG37,Data,5,FALSE)*(AE37/180)</f>
        <v>210.82918479192284</v>
      </c>
      <c r="AG37">
        <f t="shared" si="24"/>
        <v>7</v>
      </c>
      <c r="AH37" s="1">
        <f t="shared" si="39"/>
        <v>-11.985909978697746</v>
      </c>
      <c r="AI37" s="1">
        <f t="shared" si="40"/>
        <v>44.732025015446744</v>
      </c>
      <c r="AJ37">
        <v>165</v>
      </c>
      <c r="AK37" s="1">
        <f>AK$4+VLOOKUP(Lanes!AL37,Data,5,FALSE)*(AJ37/180)</f>
        <v>214.34253257618741</v>
      </c>
      <c r="AL37">
        <f t="shared" si="25"/>
        <v>8</v>
      </c>
      <c r="AM37" s="1">
        <f t="shared" si="41"/>
        <v>-12.301669213722823</v>
      </c>
      <c r="AN37" s="1">
        <f t="shared" si="42"/>
        <v>45.910454523519405</v>
      </c>
      <c r="AO37">
        <v>165</v>
      </c>
      <c r="AP37" s="1">
        <f>AP$4+VLOOKUP(Lanes!AQ37,Data,5,FALSE)*(AO37/180)</f>
        <v>217.85588036045198</v>
      </c>
      <c r="AQ37">
        <f t="shared" si="26"/>
        <v>9</v>
      </c>
      <c r="AR37" s="1">
        <f t="shared" si="43"/>
        <v>-12.617428448747898</v>
      </c>
      <c r="AS37" s="1">
        <f t="shared" si="44"/>
        <v>47.088884031592066</v>
      </c>
      <c r="AX37" t="s">
        <v>67</v>
      </c>
    </row>
    <row r="38" spans="1:51" x14ac:dyDescent="0.2">
      <c r="A38">
        <v>170</v>
      </c>
      <c r="B38" s="1">
        <f>B$4+VLOOKUP(Lanes!C38,Data,5,FALSE)*(A38/180)</f>
        <v>193.16907075561824</v>
      </c>
      <c r="C38">
        <f t="shared" si="18"/>
        <v>1</v>
      </c>
      <c r="D38" s="1">
        <f t="shared" si="27"/>
        <v>-6.7705424472335949</v>
      </c>
      <c r="E38" s="1">
        <f t="shared" si="28"/>
        <v>38.397654289945997</v>
      </c>
      <c r="F38">
        <v>170</v>
      </c>
      <c r="G38" s="1">
        <f>G$4+VLOOKUP(Lanes!H38,Data,5,FALSE)*(F38/180)</f>
        <v>196.78888362425448</v>
      </c>
      <c r="H38">
        <f t="shared" si="19"/>
        <v>2</v>
      </c>
      <c r="I38" s="1">
        <f t="shared" si="29"/>
        <v>-6.9823932239872484</v>
      </c>
      <c r="J38" s="1">
        <f t="shared" si="30"/>
        <v>39.599119748620893</v>
      </c>
      <c r="K38">
        <v>170</v>
      </c>
      <c r="L38" s="1">
        <f>L$4+VLOOKUP(Lanes!M38,Data,5,FALSE)*(K38/180)</f>
        <v>200.40869649289073</v>
      </c>
      <c r="M38">
        <f t="shared" si="20"/>
        <v>3</v>
      </c>
      <c r="N38" s="1">
        <f t="shared" si="31"/>
        <v>-7.1942440007409028</v>
      </c>
      <c r="O38" s="1">
        <f t="shared" si="32"/>
        <v>40.800585207295782</v>
      </c>
      <c r="P38">
        <v>170</v>
      </c>
      <c r="Q38" s="1">
        <f>Q$4+VLOOKUP(Lanes!R38,Data,5,FALSE)*(P38/180)</f>
        <v>204.02850936152694</v>
      </c>
      <c r="R38">
        <f t="shared" si="21"/>
        <v>4</v>
      </c>
      <c r="S38" s="1">
        <f t="shared" si="33"/>
        <v>-7.4060947774945758</v>
      </c>
      <c r="T38" s="1">
        <f t="shared" si="34"/>
        <v>42.002050665970671</v>
      </c>
      <c r="U38">
        <v>170</v>
      </c>
      <c r="V38" s="1">
        <f>V$4+VLOOKUP(Lanes!W38,Data,5,FALSE)*(U38/180)</f>
        <v>207.64832223016316</v>
      </c>
      <c r="W38">
        <f t="shared" si="22"/>
        <v>5</v>
      </c>
      <c r="X38" s="1">
        <f t="shared" si="35"/>
        <v>-7.6179455542482311</v>
      </c>
      <c r="Y38" s="1">
        <f t="shared" si="36"/>
        <v>43.20351612464556</v>
      </c>
      <c r="Z38">
        <v>170</v>
      </c>
      <c r="AA38" s="1">
        <f>AA$4+VLOOKUP(Lanes!AB38,Data,5,FALSE)*(Z38/180)</f>
        <v>211.26813509879941</v>
      </c>
      <c r="AB38">
        <f t="shared" si="23"/>
        <v>6</v>
      </c>
      <c r="AC38" s="1">
        <f t="shared" si="37"/>
        <v>-7.8297963310018854</v>
      </c>
      <c r="AD38" s="1">
        <f t="shared" si="38"/>
        <v>44.404981583320456</v>
      </c>
      <c r="AE38">
        <v>170</v>
      </c>
      <c r="AF38" s="1">
        <f>AF$4+VLOOKUP(Lanes!AG38,Data,5,FALSE)*(AE38/180)</f>
        <v>214.88794796743565</v>
      </c>
      <c r="AG38">
        <f t="shared" si="24"/>
        <v>7</v>
      </c>
      <c r="AH38" s="1">
        <f t="shared" si="39"/>
        <v>-8.0416471077555194</v>
      </c>
      <c r="AI38" s="1">
        <f t="shared" si="40"/>
        <v>45.606447041995352</v>
      </c>
      <c r="AJ38">
        <v>170</v>
      </c>
      <c r="AK38" s="1">
        <f>AK$4+VLOOKUP(Lanes!AL38,Data,5,FALSE)*(AJ38/180)</f>
        <v>218.5077608360719</v>
      </c>
      <c r="AL38">
        <f t="shared" si="25"/>
        <v>8</v>
      </c>
      <c r="AM38" s="1">
        <f t="shared" si="41"/>
        <v>-8.2534978845091747</v>
      </c>
      <c r="AN38" s="1">
        <f t="shared" si="42"/>
        <v>46.807912500670248</v>
      </c>
      <c r="AO38">
        <v>170</v>
      </c>
      <c r="AP38" s="1">
        <f>AP$4+VLOOKUP(Lanes!AQ38,Data,5,FALSE)*(AO38/180)</f>
        <v>222.12757370470814</v>
      </c>
      <c r="AQ38">
        <f t="shared" si="26"/>
        <v>9</v>
      </c>
      <c r="AR38" s="1">
        <f t="shared" si="43"/>
        <v>-8.4653486612628281</v>
      </c>
      <c r="AS38" s="1">
        <f t="shared" si="44"/>
        <v>48.009377959345137</v>
      </c>
      <c r="AX38" s="3" t="s">
        <v>0</v>
      </c>
      <c r="AY38" s="3" t="s">
        <v>1</v>
      </c>
    </row>
    <row r="39" spans="1:51" x14ac:dyDescent="0.2">
      <c r="A39">
        <v>175</v>
      </c>
      <c r="B39" s="1">
        <f>B$4+VLOOKUP(Lanes!C39,Data,5,FALSE)*(A39/180)</f>
        <v>196.58904342490112</v>
      </c>
      <c r="C39">
        <f t="shared" si="18"/>
        <v>1</v>
      </c>
      <c r="D39" s="1">
        <f t="shared" si="27"/>
        <v>-3.3982024097311934</v>
      </c>
      <c r="E39" s="1">
        <f t="shared" si="28"/>
        <v>38.841631278597163</v>
      </c>
      <c r="F39">
        <v>175</v>
      </c>
      <c r="G39" s="1">
        <f>G$4+VLOOKUP(Lanes!H39,Data,5,FALSE)*(F39/180)</f>
        <v>200.31532137790902</v>
      </c>
      <c r="H39">
        <f t="shared" si="19"/>
        <v>2</v>
      </c>
      <c r="I39" s="1">
        <f t="shared" si="29"/>
        <v>-3.5045324158833182</v>
      </c>
      <c r="J39" s="1">
        <f t="shared" si="30"/>
        <v>40.05698881026909</v>
      </c>
      <c r="K39">
        <v>175</v>
      </c>
      <c r="L39" s="1">
        <f>L$4+VLOOKUP(Lanes!M39,Data,5,FALSE)*(K39/180)</f>
        <v>204.04159933091691</v>
      </c>
      <c r="M39">
        <f t="shared" si="20"/>
        <v>3</v>
      </c>
      <c r="N39" s="1">
        <f t="shared" si="31"/>
        <v>-3.610862422035479</v>
      </c>
      <c r="O39" s="1">
        <f t="shared" si="32"/>
        <v>41.272346341941017</v>
      </c>
      <c r="P39">
        <v>175</v>
      </c>
      <c r="Q39" s="1">
        <f>Q$4+VLOOKUP(Lanes!R39,Data,5,FALSE)*(P39/180)</f>
        <v>207.7678772839248</v>
      </c>
      <c r="R39">
        <f t="shared" si="21"/>
        <v>4</v>
      </c>
      <c r="S39" s="1">
        <f t="shared" si="33"/>
        <v>-3.717192428187603</v>
      </c>
      <c r="T39" s="1">
        <f t="shared" si="34"/>
        <v>42.487703873612944</v>
      </c>
      <c r="U39">
        <v>175</v>
      </c>
      <c r="V39" s="1">
        <f>V$4+VLOOKUP(Lanes!W39,Data,5,FALSE)*(U39/180)</f>
        <v>211.49415523693267</v>
      </c>
      <c r="W39">
        <f t="shared" si="22"/>
        <v>5</v>
      </c>
      <c r="X39" s="1">
        <f t="shared" si="35"/>
        <v>-3.8235224343397647</v>
      </c>
      <c r="Y39" s="1">
        <f t="shared" si="36"/>
        <v>43.703061405284878</v>
      </c>
      <c r="Z39">
        <v>175</v>
      </c>
      <c r="AA39" s="1">
        <f>AA$4+VLOOKUP(Lanes!AB39,Data,5,FALSE)*(Z39/180)</f>
        <v>215.22043318994059</v>
      </c>
      <c r="AB39">
        <f t="shared" si="23"/>
        <v>6</v>
      </c>
      <c r="AC39" s="1">
        <f t="shared" si="37"/>
        <v>-3.9298524404918878</v>
      </c>
      <c r="AD39" s="1">
        <f t="shared" si="38"/>
        <v>44.918418936956805</v>
      </c>
      <c r="AE39">
        <v>175</v>
      </c>
      <c r="AF39" s="1">
        <f>AF$4+VLOOKUP(Lanes!AG39,Data,5,FALSE)*(AE39/180)</f>
        <v>218.94671114294846</v>
      </c>
      <c r="AG39">
        <f t="shared" si="24"/>
        <v>7</v>
      </c>
      <c r="AH39" s="1">
        <f t="shared" si="39"/>
        <v>-4.0361824466440508</v>
      </c>
      <c r="AI39" s="1">
        <f t="shared" si="40"/>
        <v>46.133776468628731</v>
      </c>
      <c r="AJ39">
        <v>175</v>
      </c>
      <c r="AK39" s="1">
        <f>AK$4+VLOOKUP(Lanes!AL39,Data,5,FALSE)*(AJ39/180)</f>
        <v>222.67298909595638</v>
      </c>
      <c r="AL39">
        <f t="shared" si="25"/>
        <v>8</v>
      </c>
      <c r="AM39" s="1">
        <f t="shared" si="41"/>
        <v>-4.1425124527961721</v>
      </c>
      <c r="AN39" s="1">
        <f t="shared" si="42"/>
        <v>47.349134000300658</v>
      </c>
      <c r="AO39">
        <v>175</v>
      </c>
      <c r="AP39" s="1">
        <f>AP$4+VLOOKUP(Lanes!AQ39,Data,5,FALSE)*(AO39/180)</f>
        <v>226.39926704896425</v>
      </c>
      <c r="AQ39">
        <f t="shared" si="26"/>
        <v>9</v>
      </c>
      <c r="AR39" s="1">
        <f t="shared" si="43"/>
        <v>-4.2488424589483147</v>
      </c>
      <c r="AS39" s="1">
        <f t="shared" si="44"/>
        <v>48.564491531972585</v>
      </c>
      <c r="AX39">
        <v>-23.11</v>
      </c>
      <c r="AY39">
        <f>AY35-1.22</f>
        <v>-48.749999999999993</v>
      </c>
    </row>
    <row r="40" spans="1:51" x14ac:dyDescent="0.2">
      <c r="B40" s="1">
        <f>VLOOKUP(C40,Data,8,FALSE)</f>
        <v>200.00901609418401</v>
      </c>
      <c r="C40">
        <f t="shared" si="18"/>
        <v>1</v>
      </c>
      <c r="D40" s="1">
        <f t="shared" si="27"/>
        <v>-4.7748978698755303E-15</v>
      </c>
      <c r="E40" s="1">
        <f t="shared" si="28"/>
        <v>38.99</v>
      </c>
      <c r="G40" s="1">
        <f>VLOOKUP(H40,Data,8,FALSE)</f>
        <v>203.84175913156355</v>
      </c>
      <c r="H40">
        <f t="shared" si="19"/>
        <v>2</v>
      </c>
      <c r="I40" s="1">
        <f t="shared" si="29"/>
        <v>-4.9243047793715073E-15</v>
      </c>
      <c r="J40" s="1">
        <f t="shared" si="30"/>
        <v>40.21</v>
      </c>
      <c r="L40" s="1">
        <f>VLOOKUP(M40,Data,8,FALSE)</f>
        <v>207.67450216894309</v>
      </c>
      <c r="M40">
        <f t="shared" si="20"/>
        <v>3</v>
      </c>
      <c r="N40" s="1">
        <f t="shared" si="31"/>
        <v>-5.0737116888674843E-15</v>
      </c>
      <c r="O40" s="1">
        <f t="shared" si="32"/>
        <v>41.43</v>
      </c>
      <c r="Q40" s="1">
        <f>VLOOKUP(R40,Data,8,FALSE)</f>
        <v>211.50724520632264</v>
      </c>
      <c r="R40">
        <f t="shared" si="21"/>
        <v>4</v>
      </c>
      <c r="S40" s="1">
        <f t="shared" si="33"/>
        <v>-5.2231185983634613E-15</v>
      </c>
      <c r="T40" s="1">
        <f t="shared" si="34"/>
        <v>42.65</v>
      </c>
      <c r="V40" s="1">
        <f>VLOOKUP(W40,Data,8,FALSE)</f>
        <v>215.33998824370218</v>
      </c>
      <c r="W40">
        <f t="shared" si="22"/>
        <v>5</v>
      </c>
      <c r="X40" s="1">
        <f t="shared" si="35"/>
        <v>-5.3725255078594383E-15</v>
      </c>
      <c r="Y40" s="1">
        <f t="shared" si="36"/>
        <v>43.87</v>
      </c>
      <c r="AA40" s="1">
        <f>VLOOKUP(AB40,Data,8,FALSE)</f>
        <v>219.17273128108172</v>
      </c>
      <c r="AB40">
        <f t="shared" si="23"/>
        <v>6</v>
      </c>
      <c r="AC40" s="1">
        <f t="shared" si="37"/>
        <v>-5.5219324173554153E-15</v>
      </c>
      <c r="AD40" s="1">
        <f t="shared" si="38"/>
        <v>45.089999999999996</v>
      </c>
      <c r="AF40" s="1">
        <f>VLOOKUP(AG40,Data,8,FALSE)</f>
        <v>223.00547431846127</v>
      </c>
      <c r="AG40">
        <f t="shared" si="24"/>
        <v>7</v>
      </c>
      <c r="AH40" s="1">
        <f t="shared" si="39"/>
        <v>-5.6713393268513923E-15</v>
      </c>
      <c r="AI40" s="1">
        <f t="shared" si="40"/>
        <v>46.309999999999995</v>
      </c>
      <c r="AK40" s="1">
        <f>VLOOKUP(AL40,Data,8,FALSE)</f>
        <v>226.83821735584081</v>
      </c>
      <c r="AL40">
        <f t="shared" si="25"/>
        <v>8</v>
      </c>
      <c r="AM40" s="1">
        <f t="shared" si="41"/>
        <v>-5.8207462363473694E-15</v>
      </c>
      <c r="AN40" s="1">
        <f t="shared" si="42"/>
        <v>47.529999999999994</v>
      </c>
      <c r="AP40" s="1">
        <f>VLOOKUP(AQ40,Data,8,FALSE)</f>
        <v>230.67096039322035</v>
      </c>
      <c r="AQ40">
        <f t="shared" si="26"/>
        <v>9</v>
      </c>
      <c r="AR40" s="1">
        <f t="shared" si="43"/>
        <v>-5.9701531458433464E-15</v>
      </c>
      <c r="AS40" s="1">
        <f t="shared" si="44"/>
        <v>48.749999999999993</v>
      </c>
      <c r="AX40">
        <v>0</v>
      </c>
      <c r="AY40">
        <f>AY36-1.22</f>
        <v>-48.749999999999993</v>
      </c>
    </row>
    <row r="41" spans="1:51" x14ac:dyDescent="0.2">
      <c r="B41" s="1">
        <f>VLOOKUP(C41,Data,9,FALSE)</f>
        <v>276.89901609418399</v>
      </c>
      <c r="C41">
        <f t="shared" si="18"/>
        <v>1</v>
      </c>
      <c r="D41" s="1">
        <f t="shared" si="27"/>
        <v>76.889999999999986</v>
      </c>
      <c r="E41" s="1">
        <f t="shared" si="28"/>
        <v>38.99</v>
      </c>
      <c r="G41" s="1">
        <f>VLOOKUP(H41,Data,9,FALSE)</f>
        <v>280.73175913156354</v>
      </c>
      <c r="H41">
        <f t="shared" si="19"/>
        <v>2</v>
      </c>
      <c r="I41" s="1">
        <f t="shared" si="29"/>
        <v>76.889999999999986</v>
      </c>
      <c r="J41" s="1">
        <f t="shared" si="30"/>
        <v>40.21</v>
      </c>
      <c r="L41" s="1">
        <f>VLOOKUP(M41,Data,9,FALSE)</f>
        <v>284.56450216894308</v>
      </c>
      <c r="M41">
        <f t="shared" si="20"/>
        <v>3</v>
      </c>
      <c r="N41" s="1">
        <f t="shared" si="31"/>
        <v>76.889999999999986</v>
      </c>
      <c r="O41" s="1">
        <f t="shared" si="32"/>
        <v>41.43</v>
      </c>
      <c r="Q41" s="1">
        <f>VLOOKUP(R41,Data,9,FALSE)</f>
        <v>288.39724520632262</v>
      </c>
      <c r="R41">
        <f t="shared" si="21"/>
        <v>4</v>
      </c>
      <c r="S41" s="1">
        <f t="shared" si="33"/>
        <v>76.889999999999986</v>
      </c>
      <c r="T41" s="1">
        <f t="shared" si="34"/>
        <v>42.65</v>
      </c>
      <c r="V41" s="1">
        <f>VLOOKUP(W41,Data,9,FALSE)</f>
        <v>292.22998824370217</v>
      </c>
      <c r="W41">
        <f t="shared" si="22"/>
        <v>5</v>
      </c>
      <c r="X41" s="1">
        <f t="shared" si="35"/>
        <v>76.889999999999986</v>
      </c>
      <c r="Y41" s="1">
        <f t="shared" si="36"/>
        <v>43.87</v>
      </c>
      <c r="AA41" s="1">
        <f>VLOOKUP(AB41,Data,9,FALSE)</f>
        <v>296.06273128108171</v>
      </c>
      <c r="AB41">
        <f t="shared" si="23"/>
        <v>6</v>
      </c>
      <c r="AC41" s="1">
        <f t="shared" si="37"/>
        <v>76.889999999999986</v>
      </c>
      <c r="AD41" s="1">
        <f t="shared" si="38"/>
        <v>45.089999999999996</v>
      </c>
      <c r="AF41" s="1">
        <f>VLOOKUP(AG41,Data,9,FALSE)</f>
        <v>299.89547431846125</v>
      </c>
      <c r="AG41">
        <f t="shared" si="24"/>
        <v>7</v>
      </c>
      <c r="AH41" s="1">
        <f t="shared" si="39"/>
        <v>76.889999999999986</v>
      </c>
      <c r="AI41" s="1">
        <f t="shared" si="40"/>
        <v>46.309999999999995</v>
      </c>
      <c r="AK41" s="1">
        <f>VLOOKUP(AL41,Data,9,FALSE)</f>
        <v>303.7282173558408</v>
      </c>
      <c r="AL41">
        <f t="shared" si="25"/>
        <v>8</v>
      </c>
      <c r="AM41" s="1">
        <f t="shared" si="41"/>
        <v>76.889999999999986</v>
      </c>
      <c r="AN41" s="1">
        <f t="shared" si="42"/>
        <v>47.529999999999994</v>
      </c>
      <c r="AP41" s="1">
        <f>VLOOKUP(AQ41,Data,9,FALSE)</f>
        <v>307.56096039322034</v>
      </c>
      <c r="AQ41">
        <f t="shared" si="26"/>
        <v>9</v>
      </c>
      <c r="AR41" s="1">
        <f t="shared" si="43"/>
        <v>76.889999999999986</v>
      </c>
      <c r="AS41" s="1">
        <f t="shared" si="44"/>
        <v>48.749999999999993</v>
      </c>
    </row>
    <row r="42" spans="1:51" x14ac:dyDescent="0.2">
      <c r="A42">
        <v>5</v>
      </c>
      <c r="B42" s="1">
        <f>B$41+VLOOKUP(Lanes!C5,Data,7,FALSE)*(A5/180)</f>
        <v>280.3189887634669</v>
      </c>
      <c r="C42">
        <f t="shared" si="18"/>
        <v>1</v>
      </c>
      <c r="D42" s="1">
        <f t="shared" si="27"/>
        <v>80.288202409731198</v>
      </c>
      <c r="E42" s="1">
        <f t="shared" si="28"/>
        <v>38.841631278597163</v>
      </c>
      <c r="F42">
        <v>5</v>
      </c>
      <c r="G42" s="1">
        <f>G$41+VLOOKUP(Lanes!H5,Data,7,FALSE)*(F5/180)</f>
        <v>284.25819688521807</v>
      </c>
      <c r="H42">
        <f t="shared" si="19"/>
        <v>2</v>
      </c>
      <c r="I42" s="1">
        <f t="shared" si="29"/>
        <v>80.394532415883333</v>
      </c>
      <c r="J42" s="1">
        <f t="shared" si="30"/>
        <v>40.05698881026909</v>
      </c>
      <c r="K42">
        <v>5</v>
      </c>
      <c r="L42" s="1">
        <f>L$41+VLOOKUP(Lanes!M5,Data,7,FALSE)*(K5/180)</f>
        <v>288.19740500696929</v>
      </c>
      <c r="M42">
        <f t="shared" si="20"/>
        <v>3</v>
      </c>
      <c r="N42" s="1">
        <f t="shared" si="31"/>
        <v>80.500862422035482</v>
      </c>
      <c r="O42" s="1">
        <f t="shared" si="32"/>
        <v>41.272346341941017</v>
      </c>
      <c r="P42">
        <v>5</v>
      </c>
      <c r="Q42" s="1">
        <f>Q$41+VLOOKUP(Lanes!R5,Data,7,FALSE)*(P5/180)</f>
        <v>292.13661312872046</v>
      </c>
      <c r="R42">
        <f t="shared" si="21"/>
        <v>4</v>
      </c>
      <c r="S42" s="1">
        <f t="shared" si="33"/>
        <v>80.607192428187588</v>
      </c>
      <c r="T42" s="1">
        <f t="shared" si="34"/>
        <v>42.487703873612944</v>
      </c>
      <c r="U42">
        <v>5</v>
      </c>
      <c r="V42" s="1">
        <f>V$41+VLOOKUP(Lanes!W5,Data,7,FALSE)*(U5/180)</f>
        <v>296.07582125047168</v>
      </c>
      <c r="W42">
        <f t="shared" si="22"/>
        <v>5</v>
      </c>
      <c r="X42" s="1">
        <f t="shared" si="35"/>
        <v>80.713522434339751</v>
      </c>
      <c r="Y42" s="1">
        <f t="shared" si="36"/>
        <v>43.703061405284878</v>
      </c>
      <c r="Z42">
        <v>5</v>
      </c>
      <c r="AA42" s="1">
        <f>AA$41+VLOOKUP(Lanes!AB5,Data,7,FALSE)*(Z5/180)</f>
        <v>300.0150293722229</v>
      </c>
      <c r="AB42">
        <f t="shared" si="23"/>
        <v>6</v>
      </c>
      <c r="AC42" s="1">
        <f t="shared" si="37"/>
        <v>80.819852440491914</v>
      </c>
      <c r="AD42" s="1">
        <f t="shared" si="38"/>
        <v>44.918418936956805</v>
      </c>
      <c r="AE42">
        <v>5</v>
      </c>
      <c r="AF42" s="1">
        <f>AF$41+VLOOKUP(Lanes!AG5,Data,7,FALSE)*(AE5/180)</f>
        <v>303.95423749397406</v>
      </c>
      <c r="AG42">
        <f t="shared" si="24"/>
        <v>7</v>
      </c>
      <c r="AH42" s="1">
        <f t="shared" si="39"/>
        <v>80.926182446644034</v>
      </c>
      <c r="AI42" s="1">
        <f t="shared" si="40"/>
        <v>46.133776468628731</v>
      </c>
      <c r="AJ42">
        <v>5</v>
      </c>
      <c r="AK42" s="1">
        <f>AK$41+VLOOKUP(Lanes!AL5,Data,7,FALSE)*(AJ5/180)</f>
        <v>307.89344561572528</v>
      </c>
      <c r="AL42">
        <f t="shared" si="25"/>
        <v>8</v>
      </c>
      <c r="AM42" s="1">
        <f t="shared" si="41"/>
        <v>81.032512452796198</v>
      </c>
      <c r="AN42" s="1">
        <f t="shared" si="42"/>
        <v>47.349134000300658</v>
      </c>
      <c r="AO42">
        <v>5</v>
      </c>
      <c r="AP42" s="1">
        <f>AP$41+VLOOKUP(Lanes!AQ5,Data,7,FALSE)*(AO5/180)</f>
        <v>311.83265373747645</v>
      </c>
      <c r="AQ42">
        <f t="shared" si="26"/>
        <v>9</v>
      </c>
      <c r="AR42" s="1">
        <f t="shared" si="43"/>
        <v>81.138842458948304</v>
      </c>
      <c r="AS42" s="1">
        <f t="shared" si="44"/>
        <v>48.564491531972585</v>
      </c>
    </row>
    <row r="43" spans="1:51" x14ac:dyDescent="0.2">
      <c r="A43">
        <v>10</v>
      </c>
      <c r="B43" s="1">
        <f>B$41+VLOOKUP(Lanes!C6,Data,7,FALSE)*(A6/180)</f>
        <v>283.73896143274976</v>
      </c>
      <c r="C43">
        <f t="shared" si="18"/>
        <v>1</v>
      </c>
      <c r="D43" s="1">
        <f t="shared" si="27"/>
        <v>83.660542447233624</v>
      </c>
      <c r="E43" s="1">
        <f t="shared" si="28"/>
        <v>38.39765428994599</v>
      </c>
      <c r="F43">
        <v>10</v>
      </c>
      <c r="G43" s="1">
        <f>G$41+VLOOKUP(Lanes!H6,Data,7,FALSE)*(F6/180)</f>
        <v>287.7846346388726</v>
      </c>
      <c r="H43">
        <f t="shared" si="19"/>
        <v>2</v>
      </c>
      <c r="I43" s="1">
        <f t="shared" si="29"/>
        <v>83.872393223987245</v>
      </c>
      <c r="J43" s="1">
        <f t="shared" si="30"/>
        <v>39.599119748620893</v>
      </c>
      <c r="K43">
        <v>10</v>
      </c>
      <c r="L43" s="1">
        <f>L$41+VLOOKUP(Lanes!M6,Data,7,FALSE)*(K6/180)</f>
        <v>291.83030784499545</v>
      </c>
      <c r="M43">
        <f t="shared" si="20"/>
        <v>3</v>
      </c>
      <c r="N43" s="1">
        <f t="shared" si="31"/>
        <v>84.084244000740895</v>
      </c>
      <c r="O43" s="1">
        <f t="shared" si="32"/>
        <v>40.800585207295789</v>
      </c>
      <c r="P43">
        <v>10</v>
      </c>
      <c r="Q43" s="1">
        <f>Q$41+VLOOKUP(Lanes!R6,Data,7,FALSE)*(P6/180)</f>
        <v>295.87598105111834</v>
      </c>
      <c r="R43">
        <f t="shared" si="21"/>
        <v>4</v>
      </c>
      <c r="S43" s="1">
        <f t="shared" si="33"/>
        <v>84.296094777494602</v>
      </c>
      <c r="T43" s="1">
        <f t="shared" si="34"/>
        <v>42.002050665970664</v>
      </c>
      <c r="U43">
        <v>10</v>
      </c>
      <c r="V43" s="1">
        <f>V$41+VLOOKUP(Lanes!W6,Data,7,FALSE)*(U6/180)</f>
        <v>299.92165425724119</v>
      </c>
      <c r="W43">
        <f t="shared" si="22"/>
        <v>5</v>
      </c>
      <c r="X43" s="1">
        <f t="shared" si="35"/>
        <v>84.507945554248238</v>
      </c>
      <c r="Y43" s="1">
        <f t="shared" si="36"/>
        <v>43.20351612464556</v>
      </c>
      <c r="Z43">
        <v>10</v>
      </c>
      <c r="AA43" s="1">
        <f>AA$41+VLOOKUP(Lanes!AB6,Data,7,FALSE)*(Z6/180)</f>
        <v>303.96732746336403</v>
      </c>
      <c r="AB43">
        <f t="shared" si="23"/>
        <v>6</v>
      </c>
      <c r="AC43" s="1">
        <f t="shared" si="37"/>
        <v>84.719796331001902</v>
      </c>
      <c r="AD43" s="1">
        <f t="shared" si="38"/>
        <v>44.404981583320456</v>
      </c>
      <c r="AE43">
        <v>10</v>
      </c>
      <c r="AF43" s="1">
        <f>AF$41+VLOOKUP(Lanes!AG6,Data,7,FALSE)*(AE6/180)</f>
        <v>308.01300066948687</v>
      </c>
      <c r="AG43">
        <f t="shared" si="24"/>
        <v>7</v>
      </c>
      <c r="AH43" s="1">
        <f t="shared" si="39"/>
        <v>84.931647107755552</v>
      </c>
      <c r="AI43" s="1">
        <f t="shared" si="40"/>
        <v>45.606447041995345</v>
      </c>
      <c r="AJ43">
        <v>10</v>
      </c>
      <c r="AK43" s="1">
        <f>AK$41+VLOOKUP(Lanes!AL6,Data,7,FALSE)*(AJ6/180)</f>
        <v>312.05867387560971</v>
      </c>
      <c r="AL43">
        <f t="shared" si="25"/>
        <v>8</v>
      </c>
      <c r="AM43" s="1">
        <f t="shared" si="41"/>
        <v>85.143497884509159</v>
      </c>
      <c r="AN43" s="1">
        <f t="shared" si="42"/>
        <v>46.807912500670248</v>
      </c>
      <c r="AO43">
        <v>10</v>
      </c>
      <c r="AP43" s="1">
        <f>AP$41+VLOOKUP(Lanes!AQ6,Data,7,FALSE)*(AO6/180)</f>
        <v>316.10434708173261</v>
      </c>
      <c r="AQ43">
        <f t="shared" si="26"/>
        <v>9</v>
      </c>
      <c r="AR43" s="1">
        <f t="shared" si="43"/>
        <v>85.35534866126288</v>
      </c>
      <c r="AS43" s="1">
        <f t="shared" si="44"/>
        <v>48.00937795934513</v>
      </c>
    </row>
    <row r="44" spans="1:51" x14ac:dyDescent="0.2">
      <c r="A44">
        <v>15</v>
      </c>
      <c r="B44" s="1">
        <f>B$41+VLOOKUP(Lanes!C7,Data,7,FALSE)*(A7/180)</f>
        <v>287.15893410203267</v>
      </c>
      <c r="C44">
        <f t="shared" si="18"/>
        <v>1</v>
      </c>
      <c r="D44" s="1">
        <f t="shared" si="27"/>
        <v>86.981354568547303</v>
      </c>
      <c r="E44" s="1">
        <f t="shared" si="28"/>
        <v>37.661447967010773</v>
      </c>
      <c r="F44">
        <v>15</v>
      </c>
      <c r="G44" s="1">
        <f>G$41+VLOOKUP(Lanes!H7,Data,7,FALSE)*(F7/180)</f>
        <v>291.31107239252714</v>
      </c>
      <c r="H44">
        <f t="shared" si="19"/>
        <v>2</v>
      </c>
      <c r="I44" s="1">
        <f t="shared" si="29"/>
        <v>87.297113803572344</v>
      </c>
      <c r="J44" s="1">
        <f t="shared" si="30"/>
        <v>38.839877475083441</v>
      </c>
      <c r="K44">
        <v>15</v>
      </c>
      <c r="L44" s="1">
        <f>L$41+VLOOKUP(Lanes!M7,Data,7,FALSE)*(K7/180)</f>
        <v>295.46321068302166</v>
      </c>
      <c r="M44">
        <f t="shared" si="20"/>
        <v>3</v>
      </c>
      <c r="N44" s="1">
        <f t="shared" si="31"/>
        <v>87.612873038597414</v>
      </c>
      <c r="O44" s="1">
        <f t="shared" si="32"/>
        <v>40.018306983156101</v>
      </c>
      <c r="P44">
        <v>15</v>
      </c>
      <c r="Q44" s="1">
        <f>Q$41+VLOOKUP(Lanes!R7,Data,7,FALSE)*(P7/180)</f>
        <v>299.61534897351618</v>
      </c>
      <c r="R44">
        <f t="shared" si="21"/>
        <v>4</v>
      </c>
      <c r="S44" s="1">
        <f t="shared" si="33"/>
        <v>87.928632273622512</v>
      </c>
      <c r="T44" s="1">
        <f t="shared" si="34"/>
        <v>41.196736491228762</v>
      </c>
      <c r="U44">
        <v>15</v>
      </c>
      <c r="V44" s="1">
        <f>V$41+VLOOKUP(Lanes!W7,Data,7,FALSE)*(U7/180)</f>
        <v>303.7674872640107</v>
      </c>
      <c r="W44">
        <f t="shared" si="22"/>
        <v>5</v>
      </c>
      <c r="X44" s="1">
        <f t="shared" si="35"/>
        <v>88.24439150864761</v>
      </c>
      <c r="Y44" s="1">
        <f t="shared" si="36"/>
        <v>42.375165999301423</v>
      </c>
      <c r="Z44">
        <v>15</v>
      </c>
      <c r="AA44" s="1">
        <f>AA$41+VLOOKUP(Lanes!AB7,Data,7,FALSE)*(Z7/180)</f>
        <v>307.91962555450516</v>
      </c>
      <c r="AB44">
        <f t="shared" si="23"/>
        <v>6</v>
      </c>
      <c r="AC44" s="1">
        <f t="shared" si="37"/>
        <v>88.560150743672637</v>
      </c>
      <c r="AD44" s="1">
        <f t="shared" si="38"/>
        <v>43.553595507374091</v>
      </c>
      <c r="AE44">
        <v>15</v>
      </c>
      <c r="AF44" s="1">
        <f>AF$41+VLOOKUP(Lanes!AG7,Data,7,FALSE)*(AE7/180)</f>
        <v>312.07176384499968</v>
      </c>
      <c r="AG44">
        <f t="shared" si="24"/>
        <v>7</v>
      </c>
      <c r="AH44" s="1">
        <f t="shared" si="39"/>
        <v>88.87590997869772</v>
      </c>
      <c r="AI44" s="1">
        <f t="shared" si="40"/>
        <v>44.732025015446752</v>
      </c>
      <c r="AJ44">
        <v>15</v>
      </c>
      <c r="AK44" s="1">
        <f>AK$41+VLOOKUP(Lanes!AL7,Data,7,FALSE)*(AJ7/180)</f>
        <v>316.2239021354942</v>
      </c>
      <c r="AL44">
        <f t="shared" si="25"/>
        <v>8</v>
      </c>
      <c r="AM44" s="1">
        <f t="shared" si="41"/>
        <v>89.191669213722818</v>
      </c>
      <c r="AN44" s="1">
        <f t="shared" si="42"/>
        <v>45.910454523519412</v>
      </c>
      <c r="AO44">
        <v>15</v>
      </c>
      <c r="AP44" s="1">
        <f>AP$41+VLOOKUP(Lanes!AQ7,Data,7,FALSE)*(AO7/180)</f>
        <v>320.37604042598872</v>
      </c>
      <c r="AQ44">
        <f t="shared" si="26"/>
        <v>9</v>
      </c>
      <c r="AR44" s="1">
        <f t="shared" si="43"/>
        <v>89.507428448747902</v>
      </c>
      <c r="AS44" s="1">
        <f t="shared" si="44"/>
        <v>47.088884031592066</v>
      </c>
    </row>
    <row r="45" spans="1:51" x14ac:dyDescent="0.2">
      <c r="A45">
        <v>20</v>
      </c>
      <c r="B45" s="1">
        <f>B$41+VLOOKUP(Lanes!C8,Data,7,FALSE)*(A8/180)</f>
        <v>290.57890677131553</v>
      </c>
      <c r="C45">
        <f t="shared" si="18"/>
        <v>1</v>
      </c>
      <c r="D45" s="1">
        <f t="shared" si="27"/>
        <v>90.225365388267804</v>
      </c>
      <c r="E45" s="1">
        <f t="shared" si="28"/>
        <v>36.638615284442572</v>
      </c>
      <c r="F45">
        <v>20</v>
      </c>
      <c r="G45" s="1">
        <f>G$41+VLOOKUP(Lanes!H8,Data,7,FALSE)*(F8/180)</f>
        <v>294.83751014618173</v>
      </c>
      <c r="H45">
        <f t="shared" si="19"/>
        <v>2</v>
      </c>
      <c r="I45" s="1">
        <f t="shared" si="29"/>
        <v>90.64262996312516</v>
      </c>
      <c r="J45" s="1">
        <f t="shared" si="30"/>
        <v>37.785040281801372</v>
      </c>
      <c r="K45">
        <v>20</v>
      </c>
      <c r="L45" s="1">
        <f>L$41+VLOOKUP(Lanes!M8,Data,7,FALSE)*(K8/180)</f>
        <v>299.09611352104787</v>
      </c>
      <c r="M45">
        <f t="shared" si="20"/>
        <v>3</v>
      </c>
      <c r="N45" s="1">
        <f t="shared" si="31"/>
        <v>91.059894537982458</v>
      </c>
      <c r="O45" s="1">
        <f t="shared" si="32"/>
        <v>38.931465279160186</v>
      </c>
      <c r="P45">
        <v>20</v>
      </c>
      <c r="Q45" s="1">
        <f>Q$41+VLOOKUP(Lanes!R8,Data,7,FALSE)*(P8/180)</f>
        <v>303.35471689591401</v>
      </c>
      <c r="R45">
        <f t="shared" si="21"/>
        <v>4</v>
      </c>
      <c r="S45" s="1">
        <f t="shared" si="33"/>
        <v>91.477159112839743</v>
      </c>
      <c r="T45" s="1">
        <f t="shared" si="34"/>
        <v>40.077890276519</v>
      </c>
      <c r="U45">
        <v>20</v>
      </c>
      <c r="V45" s="1">
        <f>V$41+VLOOKUP(Lanes!W8,Data,7,FALSE)*(U8/180)</f>
        <v>307.61332027078021</v>
      </c>
      <c r="W45">
        <f t="shared" si="22"/>
        <v>5</v>
      </c>
      <c r="X45" s="1">
        <f t="shared" si="35"/>
        <v>91.894423687697099</v>
      </c>
      <c r="Y45" s="1">
        <f t="shared" si="36"/>
        <v>41.224315273877792</v>
      </c>
      <c r="Z45">
        <v>20</v>
      </c>
      <c r="AA45" s="1">
        <f>AA$41+VLOOKUP(Lanes!AB8,Data,7,FALSE)*(Z8/180)</f>
        <v>311.87192364564635</v>
      </c>
      <c r="AB45">
        <f t="shared" si="23"/>
        <v>6</v>
      </c>
      <c r="AC45" s="1">
        <f t="shared" si="37"/>
        <v>92.311688262554398</v>
      </c>
      <c r="AD45" s="1">
        <f t="shared" si="38"/>
        <v>42.370740271236606</v>
      </c>
      <c r="AE45">
        <v>20</v>
      </c>
      <c r="AF45" s="1">
        <f>AF$41+VLOOKUP(Lanes!AG8,Data,7,FALSE)*(AE8/180)</f>
        <v>316.13052702051249</v>
      </c>
      <c r="AG45">
        <f t="shared" si="24"/>
        <v>7</v>
      </c>
      <c r="AH45" s="1">
        <f t="shared" si="39"/>
        <v>92.728952837411697</v>
      </c>
      <c r="AI45" s="1">
        <f t="shared" si="40"/>
        <v>43.51716526859542</v>
      </c>
      <c r="AJ45">
        <v>20</v>
      </c>
      <c r="AK45" s="1">
        <f>AK$41+VLOOKUP(Lanes!AL8,Data,7,FALSE)*(AJ8/180)</f>
        <v>320.38913039537869</v>
      </c>
      <c r="AL45">
        <f t="shared" si="25"/>
        <v>8</v>
      </c>
      <c r="AM45" s="1">
        <f t="shared" si="41"/>
        <v>93.146217412269053</v>
      </c>
      <c r="AN45" s="1">
        <f t="shared" si="42"/>
        <v>44.663590265954213</v>
      </c>
      <c r="AO45">
        <v>20</v>
      </c>
      <c r="AP45" s="1">
        <f>AP$41+VLOOKUP(Lanes!AQ8,Data,7,FALSE)*(AO8/180)</f>
        <v>324.64773377024483</v>
      </c>
      <c r="AQ45">
        <f t="shared" si="26"/>
        <v>9</v>
      </c>
      <c r="AR45" s="1">
        <f t="shared" si="43"/>
        <v>93.563481987126352</v>
      </c>
      <c r="AS45" s="1">
        <f t="shared" si="44"/>
        <v>45.810015263313026</v>
      </c>
    </row>
    <row r="46" spans="1:51" x14ac:dyDescent="0.2">
      <c r="A46">
        <v>25</v>
      </c>
      <c r="B46" s="1">
        <f>B$41+VLOOKUP(Lanes!C9,Data,7,FALSE)*(A9/180)</f>
        <v>293.99887944059844</v>
      </c>
      <c r="C46">
        <f t="shared" si="18"/>
        <v>1</v>
      </c>
      <c r="D46" s="1">
        <f t="shared" si="27"/>
        <v>93.367886025269868</v>
      </c>
      <c r="E46" s="1">
        <f t="shared" si="28"/>
        <v>35.336940616558984</v>
      </c>
      <c r="F46">
        <v>25</v>
      </c>
      <c r="G46" s="1">
        <f>G$41+VLOOKUP(Lanes!H9,Data,7,FALSE)*(F9/180)</f>
        <v>298.36394789983626</v>
      </c>
      <c r="H46">
        <f t="shared" si="19"/>
        <v>2</v>
      </c>
      <c r="I46" s="1">
        <f t="shared" si="29"/>
        <v>93.883480304593533</v>
      </c>
      <c r="J46" s="1">
        <f t="shared" si="30"/>
        <v>36.442636116743692</v>
      </c>
      <c r="K46">
        <v>25</v>
      </c>
      <c r="L46" s="1">
        <f>L$41+VLOOKUP(Lanes!M9,Data,7,FALSE)*(K9/180)</f>
        <v>302.72901635907408</v>
      </c>
      <c r="M46">
        <f t="shared" si="20"/>
        <v>3</v>
      </c>
      <c r="N46" s="1">
        <f t="shared" si="31"/>
        <v>94.399074583917184</v>
      </c>
      <c r="O46" s="1">
        <f t="shared" si="32"/>
        <v>37.548331616928401</v>
      </c>
      <c r="P46">
        <v>25</v>
      </c>
      <c r="Q46" s="1">
        <f>Q$41+VLOOKUP(Lanes!R9,Data,7,FALSE)*(P9/180)</f>
        <v>307.0940848183119</v>
      </c>
      <c r="R46">
        <f t="shared" si="21"/>
        <v>4</v>
      </c>
      <c r="S46" s="1">
        <f t="shared" si="33"/>
        <v>94.914668863240848</v>
      </c>
      <c r="T46" s="1">
        <f t="shared" si="34"/>
        <v>38.654027117113117</v>
      </c>
      <c r="U46">
        <v>25</v>
      </c>
      <c r="V46" s="1">
        <f>V$41+VLOOKUP(Lanes!W9,Data,7,FALSE)*(U9/180)</f>
        <v>311.45915327754972</v>
      </c>
      <c r="W46">
        <f t="shared" si="22"/>
        <v>5</v>
      </c>
      <c r="X46" s="1">
        <f t="shared" si="35"/>
        <v>95.430263142564499</v>
      </c>
      <c r="Y46" s="1">
        <f t="shared" si="36"/>
        <v>39.759722617297825</v>
      </c>
      <c r="Z46">
        <v>25</v>
      </c>
      <c r="AA46" s="1">
        <f>AA$41+VLOOKUP(Lanes!AB9,Data,7,FALSE)*(Z9/180)</f>
        <v>315.82422173678754</v>
      </c>
      <c r="AB46">
        <f t="shared" si="23"/>
        <v>6</v>
      </c>
      <c r="AC46" s="1">
        <f t="shared" si="37"/>
        <v>95.945857421888149</v>
      </c>
      <c r="AD46" s="1">
        <f t="shared" si="38"/>
        <v>40.865418117482534</v>
      </c>
      <c r="AE46">
        <v>25</v>
      </c>
      <c r="AF46" s="1">
        <f>AF$41+VLOOKUP(Lanes!AG9,Data,7,FALSE)*(AE9/180)</f>
        <v>320.1892901960253</v>
      </c>
      <c r="AG46">
        <f t="shared" si="24"/>
        <v>7</v>
      </c>
      <c r="AH46" s="1">
        <f t="shared" si="39"/>
        <v>96.461451701211757</v>
      </c>
      <c r="AI46" s="1">
        <f t="shared" si="40"/>
        <v>41.971113617667271</v>
      </c>
      <c r="AJ46">
        <v>25</v>
      </c>
      <c r="AK46" s="1">
        <f>AK$41+VLOOKUP(Lanes!AL9,Data,7,FALSE)*(AJ9/180)</f>
        <v>324.55435865526312</v>
      </c>
      <c r="AL46">
        <f t="shared" si="25"/>
        <v>8</v>
      </c>
      <c r="AM46" s="1">
        <f t="shared" si="41"/>
        <v>96.977045980535422</v>
      </c>
      <c r="AN46" s="1">
        <f t="shared" si="42"/>
        <v>43.07680911785198</v>
      </c>
      <c r="AO46">
        <v>25</v>
      </c>
      <c r="AP46" s="1">
        <f>AP$41+VLOOKUP(Lanes!AQ9,Data,7,FALSE)*(AO9/180)</f>
        <v>328.91942711450093</v>
      </c>
      <c r="AQ46">
        <f t="shared" si="26"/>
        <v>9</v>
      </c>
      <c r="AR46" s="1">
        <f t="shared" si="43"/>
        <v>97.492640259859073</v>
      </c>
      <c r="AS46" s="1">
        <f t="shared" si="44"/>
        <v>44.182504618036695</v>
      </c>
    </row>
    <row r="47" spans="1:51" x14ac:dyDescent="0.2">
      <c r="A47">
        <v>30</v>
      </c>
      <c r="B47" s="1">
        <f>B$41+VLOOKUP(Lanes!C10,Data,7,FALSE)*(A10/180)</f>
        <v>297.4188521098813</v>
      </c>
      <c r="C47">
        <f t="shared" si="18"/>
        <v>1</v>
      </c>
      <c r="D47" s="1">
        <f t="shared" si="27"/>
        <v>96.384999999999977</v>
      </c>
      <c r="E47" s="1">
        <f t="shared" si="28"/>
        <v>33.76633049355528</v>
      </c>
      <c r="F47">
        <v>30</v>
      </c>
      <c r="G47" s="1">
        <f>G$41+VLOOKUP(Lanes!H10,Data,7,FALSE)*(F10/180)</f>
        <v>301.8903856534908</v>
      </c>
      <c r="H47">
        <f t="shared" si="19"/>
        <v>2</v>
      </c>
      <c r="I47" s="1">
        <f t="shared" si="29"/>
        <v>96.995000000000005</v>
      </c>
      <c r="J47" s="1">
        <f t="shared" si="30"/>
        <v>34.822881486172278</v>
      </c>
      <c r="K47">
        <v>30</v>
      </c>
      <c r="L47" s="1">
        <f>L$41+VLOOKUP(Lanes!M10,Data,7,FALSE)*(K10/180)</f>
        <v>306.36191919710029</v>
      </c>
      <c r="M47">
        <f t="shared" si="20"/>
        <v>3</v>
      </c>
      <c r="N47" s="1">
        <f t="shared" si="31"/>
        <v>97.605000000000018</v>
      </c>
      <c r="O47" s="1">
        <f t="shared" si="32"/>
        <v>35.879432478789283</v>
      </c>
      <c r="P47">
        <v>30</v>
      </c>
      <c r="Q47" s="1">
        <f>Q$41+VLOOKUP(Lanes!R10,Data,7,FALSE)*(P10/180)</f>
        <v>310.83345274070973</v>
      </c>
      <c r="R47">
        <f t="shared" si="21"/>
        <v>4</v>
      </c>
      <c r="S47" s="1">
        <f t="shared" si="33"/>
        <v>98.215000000000003</v>
      </c>
      <c r="T47" s="1">
        <f t="shared" si="34"/>
        <v>36.935983471406303</v>
      </c>
      <c r="U47">
        <v>30</v>
      </c>
      <c r="V47" s="1">
        <f>V$41+VLOOKUP(Lanes!W10,Data,7,FALSE)*(U10/180)</f>
        <v>315.30498628431917</v>
      </c>
      <c r="W47">
        <f t="shared" si="22"/>
        <v>5</v>
      </c>
      <c r="X47" s="1">
        <f t="shared" si="35"/>
        <v>98.824999999999974</v>
      </c>
      <c r="Y47" s="1">
        <f t="shared" si="36"/>
        <v>37.992534464023336</v>
      </c>
      <c r="Z47">
        <v>30</v>
      </c>
      <c r="AA47" s="1">
        <f>AA$41+VLOOKUP(Lanes!AB10,Data,7,FALSE)*(Z10/180)</f>
        <v>319.77651982792867</v>
      </c>
      <c r="AB47">
        <f t="shared" si="23"/>
        <v>6</v>
      </c>
      <c r="AC47" s="1">
        <f t="shared" si="37"/>
        <v>99.435000000000002</v>
      </c>
      <c r="AD47" s="1">
        <f t="shared" si="38"/>
        <v>39.049085456640334</v>
      </c>
      <c r="AE47">
        <v>30</v>
      </c>
      <c r="AF47" s="1">
        <f>AF$41+VLOOKUP(Lanes!AG10,Data,7,FALSE)*(AE10/180)</f>
        <v>324.24805337153816</v>
      </c>
      <c r="AG47">
        <f t="shared" si="24"/>
        <v>7</v>
      </c>
      <c r="AH47" s="1">
        <f t="shared" si="39"/>
        <v>100.04500000000002</v>
      </c>
      <c r="AI47" s="1">
        <f t="shared" si="40"/>
        <v>40.105636449257339</v>
      </c>
      <c r="AJ47">
        <v>30</v>
      </c>
      <c r="AK47" s="1">
        <f>AK$41+VLOOKUP(Lanes!AL10,Data,7,FALSE)*(AJ10/180)</f>
        <v>328.7195869151476</v>
      </c>
      <c r="AL47">
        <f t="shared" si="25"/>
        <v>8</v>
      </c>
      <c r="AM47" s="1">
        <f t="shared" si="41"/>
        <v>100.655</v>
      </c>
      <c r="AN47" s="1">
        <f t="shared" si="42"/>
        <v>41.162187441874359</v>
      </c>
      <c r="AO47">
        <v>30</v>
      </c>
      <c r="AP47" s="1">
        <f>AP$41+VLOOKUP(Lanes!AQ10,Data,7,FALSE)*(AO10/180)</f>
        <v>333.19112045875704</v>
      </c>
      <c r="AQ47">
        <f t="shared" si="26"/>
        <v>9</v>
      </c>
      <c r="AR47" s="1">
        <f t="shared" si="43"/>
        <v>101.26499999999997</v>
      </c>
      <c r="AS47" s="1">
        <f t="shared" si="44"/>
        <v>42.218738434491399</v>
      </c>
    </row>
    <row r="48" spans="1:51" x14ac:dyDescent="0.2">
      <c r="A48">
        <v>35</v>
      </c>
      <c r="B48" s="1">
        <f>B$41+VLOOKUP(Lanes!C11,Data,7,FALSE)*(A11/180)</f>
        <v>300.83882477916421</v>
      </c>
      <c r="C48">
        <f t="shared" si="18"/>
        <v>1</v>
      </c>
      <c r="D48" s="1">
        <f t="shared" si="27"/>
        <v>99.253745253327295</v>
      </c>
      <c r="E48" s="1">
        <f t="shared" si="28"/>
        <v>31.938738206827793</v>
      </c>
      <c r="F48">
        <v>35</v>
      </c>
      <c r="G48" s="1">
        <f>G$41+VLOOKUP(Lanes!H11,Data,7,FALSE)*(F11/180)</f>
        <v>305.41682340714533</v>
      </c>
      <c r="H48">
        <f t="shared" si="19"/>
        <v>2</v>
      </c>
      <c r="I48" s="1">
        <f t="shared" si="29"/>
        <v>99.953508505675572</v>
      </c>
      <c r="J48" s="1">
        <f t="shared" si="30"/>
        <v>32.93810370086036</v>
      </c>
      <c r="K48">
        <v>35</v>
      </c>
      <c r="L48" s="1">
        <f>L$41+VLOOKUP(Lanes!M11,Data,7,FALSE)*(K11/180)</f>
        <v>309.99482203512645</v>
      </c>
      <c r="M48">
        <f t="shared" si="20"/>
        <v>3</v>
      </c>
      <c r="N48" s="1">
        <f t="shared" si="31"/>
        <v>100.65327175802383</v>
      </c>
      <c r="O48" s="1">
        <f t="shared" si="32"/>
        <v>33.937469194892941</v>
      </c>
      <c r="P48">
        <v>35</v>
      </c>
      <c r="Q48" s="1">
        <f>Q$41+VLOOKUP(Lanes!R11,Data,7,FALSE)*(P11/180)</f>
        <v>314.57282066310756</v>
      </c>
      <c r="R48">
        <f t="shared" si="21"/>
        <v>4</v>
      </c>
      <c r="S48" s="1">
        <f t="shared" si="33"/>
        <v>101.35303501037211</v>
      </c>
      <c r="T48" s="1">
        <f t="shared" si="34"/>
        <v>34.936834688925508</v>
      </c>
      <c r="U48">
        <v>35</v>
      </c>
      <c r="V48" s="1">
        <f>V$41+VLOOKUP(Lanes!W11,Data,7,FALSE)*(U11/180)</f>
        <v>319.15081929108868</v>
      </c>
      <c r="W48">
        <f t="shared" si="22"/>
        <v>5</v>
      </c>
      <c r="X48" s="1">
        <f t="shared" si="35"/>
        <v>102.05279826272039</v>
      </c>
      <c r="Y48" s="1">
        <f t="shared" si="36"/>
        <v>35.936200182958075</v>
      </c>
      <c r="Z48">
        <v>35</v>
      </c>
      <c r="AA48" s="1">
        <f>AA$41+VLOOKUP(Lanes!AB11,Data,7,FALSE)*(Z11/180)</f>
        <v>323.7288179190698</v>
      </c>
      <c r="AB48">
        <f t="shared" si="23"/>
        <v>6</v>
      </c>
      <c r="AC48" s="1">
        <f t="shared" si="37"/>
        <v>102.75256151506866</v>
      </c>
      <c r="AD48" s="1">
        <f t="shared" si="38"/>
        <v>36.935565676990649</v>
      </c>
      <c r="AE48">
        <v>35</v>
      </c>
      <c r="AF48" s="1">
        <f>AF$41+VLOOKUP(Lanes!AG11,Data,7,FALSE)*(AE11/180)</f>
        <v>328.30681654705097</v>
      </c>
      <c r="AG48">
        <f t="shared" si="24"/>
        <v>7</v>
      </c>
      <c r="AH48" s="1">
        <f t="shared" si="39"/>
        <v>103.45232476741697</v>
      </c>
      <c r="AI48" s="1">
        <f t="shared" si="40"/>
        <v>37.934931171023187</v>
      </c>
      <c r="AJ48">
        <v>35</v>
      </c>
      <c r="AK48" s="1">
        <f>AK$41+VLOOKUP(Lanes!AL11,Data,7,FALSE)*(AJ11/180)</f>
        <v>332.88481517503209</v>
      </c>
      <c r="AL48">
        <f t="shared" si="25"/>
        <v>8</v>
      </c>
      <c r="AM48" s="1">
        <f t="shared" si="41"/>
        <v>104.15208801976524</v>
      </c>
      <c r="AN48" s="1">
        <f t="shared" si="42"/>
        <v>38.934296665055761</v>
      </c>
      <c r="AO48">
        <v>35</v>
      </c>
      <c r="AP48" s="1">
        <f>AP$41+VLOOKUP(Lanes!AQ11,Data,7,FALSE)*(AO11/180)</f>
        <v>337.4628138030132</v>
      </c>
      <c r="AQ48">
        <f t="shared" si="26"/>
        <v>9</v>
      </c>
      <c r="AR48" s="1">
        <f t="shared" si="43"/>
        <v>104.85185127211349</v>
      </c>
      <c r="AS48" s="1">
        <f t="shared" si="44"/>
        <v>39.933662159088342</v>
      </c>
    </row>
    <row r="49" spans="1:45" x14ac:dyDescent="0.2">
      <c r="A49">
        <v>40</v>
      </c>
      <c r="B49" s="1">
        <f>B$41+VLOOKUP(Lanes!C12,Data,7,FALSE)*(A12/180)</f>
        <v>304.25879744844713</v>
      </c>
      <c r="C49">
        <f t="shared" si="18"/>
        <v>1</v>
      </c>
      <c r="D49" s="1">
        <f t="shared" si="27"/>
        <v>101.95228890167817</v>
      </c>
      <c r="E49" s="1">
        <f t="shared" si="28"/>
        <v>29.868072837208945</v>
      </c>
      <c r="F49">
        <v>40</v>
      </c>
      <c r="G49" s="1">
        <f>G$41+VLOOKUP(Lanes!H12,Data,7,FALSE)*(F12/180)</f>
        <v>308.94326116079986</v>
      </c>
      <c r="H49">
        <f t="shared" si="19"/>
        <v>2</v>
      </c>
      <c r="I49" s="1">
        <f t="shared" si="29"/>
        <v>102.73648978549573</v>
      </c>
      <c r="J49" s="1">
        <f t="shared" si="30"/>
        <v>30.80264705781412</v>
      </c>
      <c r="K49">
        <v>40</v>
      </c>
      <c r="L49" s="1">
        <f>L$41+VLOOKUP(Lanes!M12,Data,7,FALSE)*(K12/180)</f>
        <v>313.62772487315266</v>
      </c>
      <c r="M49">
        <f t="shared" si="20"/>
        <v>3</v>
      </c>
      <c r="N49" s="1">
        <f t="shared" si="31"/>
        <v>103.52069066931332</v>
      </c>
      <c r="O49" s="1">
        <f t="shared" si="32"/>
        <v>31.737221278419259</v>
      </c>
      <c r="P49">
        <v>40</v>
      </c>
      <c r="Q49" s="1">
        <f>Q$41+VLOOKUP(Lanes!R12,Data,7,FALSE)*(P12/180)</f>
        <v>318.31218858550545</v>
      </c>
      <c r="R49">
        <f t="shared" si="21"/>
        <v>4</v>
      </c>
      <c r="S49" s="1">
        <f t="shared" si="33"/>
        <v>104.30489155313091</v>
      </c>
      <c r="T49" s="1">
        <f t="shared" si="34"/>
        <v>32.671795499024398</v>
      </c>
      <c r="U49">
        <v>40</v>
      </c>
      <c r="V49" s="1">
        <f>V$41+VLOOKUP(Lanes!W12,Data,7,FALSE)*(U12/180)</f>
        <v>322.99665229785819</v>
      </c>
      <c r="W49">
        <f t="shared" si="22"/>
        <v>5</v>
      </c>
      <c r="X49" s="1">
        <f t="shared" si="35"/>
        <v>105.08909243694846</v>
      </c>
      <c r="Y49" s="1">
        <f t="shared" si="36"/>
        <v>33.606369719629576</v>
      </c>
      <c r="Z49">
        <v>40</v>
      </c>
      <c r="AA49" s="1">
        <f>AA$41+VLOOKUP(Lanes!AB12,Data,7,FALSE)*(Z12/180)</f>
        <v>327.68111601021099</v>
      </c>
      <c r="AB49">
        <f t="shared" si="23"/>
        <v>6</v>
      </c>
      <c r="AC49" s="1">
        <f t="shared" si="37"/>
        <v>105.87329332076605</v>
      </c>
      <c r="AD49" s="1">
        <f t="shared" si="38"/>
        <v>34.540943940234719</v>
      </c>
      <c r="AE49">
        <v>40</v>
      </c>
      <c r="AF49" s="1">
        <f>AF$41+VLOOKUP(Lanes!AG12,Data,7,FALSE)*(AE12/180)</f>
        <v>332.36557972256378</v>
      </c>
      <c r="AG49">
        <f t="shared" si="24"/>
        <v>7</v>
      </c>
      <c r="AH49" s="1">
        <f t="shared" si="39"/>
        <v>106.65749420458364</v>
      </c>
      <c r="AI49" s="1">
        <f t="shared" si="40"/>
        <v>35.475518160839854</v>
      </c>
      <c r="AJ49">
        <v>40</v>
      </c>
      <c r="AK49" s="1">
        <f>AK$41+VLOOKUP(Lanes!AL12,Data,7,FALSE)*(AJ12/180)</f>
        <v>337.05004343491652</v>
      </c>
      <c r="AL49">
        <f t="shared" si="25"/>
        <v>8</v>
      </c>
      <c r="AM49" s="1">
        <f t="shared" si="41"/>
        <v>107.44169508840119</v>
      </c>
      <c r="AN49" s="1">
        <f t="shared" si="42"/>
        <v>36.41009238144504</v>
      </c>
      <c r="AO49">
        <v>40</v>
      </c>
      <c r="AP49" s="1">
        <f>AP$41+VLOOKUP(Lanes!AQ12,Data,7,FALSE)*(AO12/180)</f>
        <v>341.73450714726931</v>
      </c>
      <c r="AQ49">
        <f t="shared" si="26"/>
        <v>9</v>
      </c>
      <c r="AR49" s="1">
        <f t="shared" si="43"/>
        <v>108.22589597221878</v>
      </c>
      <c r="AS49" s="1">
        <f t="shared" si="44"/>
        <v>37.344666602050175</v>
      </c>
    </row>
    <row r="50" spans="1:45" x14ac:dyDescent="0.2">
      <c r="A50">
        <v>45</v>
      </c>
      <c r="B50" s="1">
        <f>B$41+VLOOKUP(Lanes!C13,Data,7,FALSE)*(A13/180)</f>
        <v>307.67877011772998</v>
      </c>
      <c r="C50">
        <f t="shared" si="18"/>
        <v>1</v>
      </c>
      <c r="D50" s="1">
        <f t="shared" si="27"/>
        <v>104.46009339846348</v>
      </c>
      <c r="E50" s="1">
        <f t="shared" si="28"/>
        <v>27.570093398463495</v>
      </c>
      <c r="F50">
        <v>45</v>
      </c>
      <c r="G50" s="1">
        <f>G$41+VLOOKUP(Lanes!H13,Data,7,FALSE)*(F13/180)</f>
        <v>312.4696989144544</v>
      </c>
      <c r="H50">
        <f t="shared" si="19"/>
        <v>2</v>
      </c>
      <c r="I50" s="1">
        <f t="shared" si="29"/>
        <v>105.32276367151107</v>
      </c>
      <c r="J50" s="1">
        <f t="shared" si="30"/>
        <v>28.432763671511093</v>
      </c>
      <c r="K50">
        <v>45</v>
      </c>
      <c r="L50" s="1">
        <f>L$41+VLOOKUP(Lanes!M13,Data,7,FALSE)*(K13/180)</f>
        <v>317.26062771117887</v>
      </c>
      <c r="M50">
        <f t="shared" si="20"/>
        <v>3</v>
      </c>
      <c r="N50" s="1">
        <f t="shared" si="31"/>
        <v>106.18543394455867</v>
      </c>
      <c r="O50" s="1">
        <f t="shared" si="32"/>
        <v>29.295433944558656</v>
      </c>
      <c r="P50">
        <v>45</v>
      </c>
      <c r="Q50" s="1">
        <f>Q$41+VLOOKUP(Lanes!R13,Data,7,FALSE)*(P13/180)</f>
        <v>322.05155650790329</v>
      </c>
      <c r="R50">
        <f t="shared" si="21"/>
        <v>4</v>
      </c>
      <c r="S50" s="1">
        <f t="shared" si="33"/>
        <v>107.04810421760625</v>
      </c>
      <c r="T50" s="1">
        <f t="shared" si="34"/>
        <v>30.158104217606258</v>
      </c>
      <c r="U50">
        <v>45</v>
      </c>
      <c r="V50" s="1">
        <f>V$41+VLOOKUP(Lanes!W13,Data,7,FALSE)*(U13/180)</f>
        <v>326.8424853046277</v>
      </c>
      <c r="W50">
        <f t="shared" si="22"/>
        <v>5</v>
      </c>
      <c r="X50" s="1">
        <f t="shared" si="35"/>
        <v>107.91077449065382</v>
      </c>
      <c r="Y50" s="1">
        <f t="shared" si="36"/>
        <v>31.020774490653857</v>
      </c>
      <c r="Z50">
        <v>45</v>
      </c>
      <c r="AA50" s="1">
        <f>AA$41+VLOOKUP(Lanes!AB13,Data,7,FALSE)*(Z13/180)</f>
        <v>331.63341410135217</v>
      </c>
      <c r="AB50">
        <f t="shared" si="23"/>
        <v>6</v>
      </c>
      <c r="AC50" s="1">
        <f t="shared" si="37"/>
        <v>108.77344476370145</v>
      </c>
      <c r="AD50" s="1">
        <f t="shared" si="38"/>
        <v>31.883444763701402</v>
      </c>
      <c r="AE50">
        <v>45</v>
      </c>
      <c r="AF50" s="1">
        <f>AF$41+VLOOKUP(Lanes!AG13,Data,7,FALSE)*(AE13/180)</f>
        <v>336.42434289807659</v>
      </c>
      <c r="AG50">
        <f t="shared" si="24"/>
        <v>7</v>
      </c>
      <c r="AH50" s="1">
        <f t="shared" si="39"/>
        <v>109.63611503674902</v>
      </c>
      <c r="AI50" s="1">
        <f t="shared" si="40"/>
        <v>32.746115036749003</v>
      </c>
      <c r="AJ50">
        <v>45</v>
      </c>
      <c r="AK50" s="1">
        <f>AK$41+VLOOKUP(Lanes!AL13,Data,7,FALSE)*(AJ13/180)</f>
        <v>341.215271694801</v>
      </c>
      <c r="AL50">
        <f t="shared" si="25"/>
        <v>8</v>
      </c>
      <c r="AM50" s="1">
        <f t="shared" si="41"/>
        <v>110.4987853097966</v>
      </c>
      <c r="AN50" s="1">
        <f t="shared" si="42"/>
        <v>33.608785309796609</v>
      </c>
      <c r="AO50">
        <v>45</v>
      </c>
      <c r="AP50" s="1">
        <f>AP$41+VLOOKUP(Lanes!AQ13,Data,7,FALSE)*(AO13/180)</f>
        <v>346.00620049152542</v>
      </c>
      <c r="AQ50">
        <f t="shared" si="26"/>
        <v>9</v>
      </c>
      <c r="AR50" s="1">
        <f t="shared" si="43"/>
        <v>111.36145558284419</v>
      </c>
      <c r="AS50" s="1">
        <f t="shared" si="44"/>
        <v>34.471455582844193</v>
      </c>
    </row>
    <row r="51" spans="1:45" x14ac:dyDescent="0.2">
      <c r="A51">
        <v>50</v>
      </c>
      <c r="B51" s="1">
        <f>B$41+VLOOKUP(Lanes!C14,Data,7,FALSE)*(A14/180)</f>
        <v>311.0987427870129</v>
      </c>
      <c r="C51">
        <f t="shared" si="18"/>
        <v>1</v>
      </c>
      <c r="D51" s="1">
        <f t="shared" si="27"/>
        <v>106.75807283720897</v>
      </c>
      <c r="E51" s="1">
        <f t="shared" si="28"/>
        <v>25.062288901678148</v>
      </c>
      <c r="F51">
        <v>50</v>
      </c>
      <c r="G51" s="1">
        <f>G$41+VLOOKUP(Lanes!H14,Data,7,FALSE)*(F14/180)</f>
        <v>315.99613666810899</v>
      </c>
      <c r="H51">
        <f t="shared" si="19"/>
        <v>2</v>
      </c>
      <c r="I51" s="1">
        <f t="shared" si="29"/>
        <v>107.69264705781413</v>
      </c>
      <c r="J51" s="1">
        <f t="shared" si="30"/>
        <v>25.846489785495727</v>
      </c>
      <c r="K51">
        <v>50</v>
      </c>
      <c r="L51" s="1">
        <f>L$41+VLOOKUP(Lanes!M14,Data,7,FALSE)*(K14/180)</f>
        <v>320.89353054920502</v>
      </c>
      <c r="M51">
        <f t="shared" si="20"/>
        <v>3</v>
      </c>
      <c r="N51" s="1">
        <f t="shared" si="31"/>
        <v>108.62722127841926</v>
      </c>
      <c r="O51" s="1">
        <f t="shared" si="32"/>
        <v>26.630690669313331</v>
      </c>
      <c r="P51">
        <v>50</v>
      </c>
      <c r="Q51" s="1">
        <f>Q$41+VLOOKUP(Lanes!R14,Data,7,FALSE)*(P14/180)</f>
        <v>325.79092443030112</v>
      </c>
      <c r="R51">
        <f t="shared" si="21"/>
        <v>4</v>
      </c>
      <c r="S51" s="1">
        <f t="shared" si="33"/>
        <v>109.56179549902441</v>
      </c>
      <c r="T51" s="1">
        <f t="shared" si="34"/>
        <v>27.414891553130907</v>
      </c>
      <c r="U51">
        <v>50</v>
      </c>
      <c r="V51" s="1">
        <f>V$41+VLOOKUP(Lanes!W14,Data,7,FALSE)*(U14/180)</f>
        <v>330.68831831139721</v>
      </c>
      <c r="W51">
        <f t="shared" si="22"/>
        <v>5</v>
      </c>
      <c r="X51" s="1">
        <f t="shared" si="35"/>
        <v>110.49636971962957</v>
      </c>
      <c r="Y51" s="1">
        <f t="shared" si="36"/>
        <v>28.199092436948487</v>
      </c>
      <c r="Z51">
        <v>50</v>
      </c>
      <c r="AA51" s="1">
        <f>AA$41+VLOOKUP(Lanes!AB14,Data,7,FALSE)*(Z14/180)</f>
        <v>335.5857121924933</v>
      </c>
      <c r="AB51">
        <f t="shared" si="23"/>
        <v>6</v>
      </c>
      <c r="AC51" s="1">
        <f t="shared" si="37"/>
        <v>111.43094394023471</v>
      </c>
      <c r="AD51" s="1">
        <f t="shared" si="38"/>
        <v>28.983293320766062</v>
      </c>
      <c r="AE51">
        <v>50</v>
      </c>
      <c r="AF51" s="1">
        <f>AF$41+VLOOKUP(Lanes!AG14,Data,7,FALSE)*(AE14/180)</f>
        <v>340.4831060735894</v>
      </c>
      <c r="AG51">
        <f t="shared" si="24"/>
        <v>7</v>
      </c>
      <c r="AH51" s="1">
        <f t="shared" si="39"/>
        <v>112.36551816083985</v>
      </c>
      <c r="AI51" s="1">
        <f t="shared" si="40"/>
        <v>29.767494204583642</v>
      </c>
      <c r="AJ51">
        <v>50</v>
      </c>
      <c r="AK51" s="1">
        <f>AK$41+VLOOKUP(Lanes!AL14,Data,7,FALSE)*(AJ14/180)</f>
        <v>345.38049995468549</v>
      </c>
      <c r="AL51">
        <f t="shared" si="25"/>
        <v>8</v>
      </c>
      <c r="AM51" s="1">
        <f t="shared" si="41"/>
        <v>113.30009238144504</v>
      </c>
      <c r="AN51" s="1">
        <f t="shared" si="42"/>
        <v>30.551695088401186</v>
      </c>
      <c r="AO51">
        <v>50</v>
      </c>
      <c r="AP51" s="1">
        <f>AP$41+VLOOKUP(Lanes!AQ14,Data,7,FALSE)*(AO14/180)</f>
        <v>350.27789383578158</v>
      </c>
      <c r="AQ51">
        <f t="shared" si="26"/>
        <v>9</v>
      </c>
      <c r="AR51" s="1">
        <f t="shared" si="43"/>
        <v>114.2346666020502</v>
      </c>
      <c r="AS51" s="1">
        <f t="shared" si="44"/>
        <v>31.335895972218761</v>
      </c>
    </row>
    <row r="52" spans="1:45" x14ac:dyDescent="0.2">
      <c r="A52">
        <v>55</v>
      </c>
      <c r="B52" s="1">
        <f>B$41+VLOOKUP(Lanes!C15,Data,7,FALSE)*(A15/180)</f>
        <v>314.51871545629575</v>
      </c>
      <c r="C52">
        <f t="shared" si="18"/>
        <v>1</v>
      </c>
      <c r="D52" s="1">
        <f t="shared" si="27"/>
        <v>108.82873820682778</v>
      </c>
      <c r="E52" s="1">
        <f t="shared" si="28"/>
        <v>22.363745253327298</v>
      </c>
      <c r="F52">
        <v>55</v>
      </c>
      <c r="G52" s="1">
        <f>G$41+VLOOKUP(Lanes!H15,Data,7,FALSE)*(F15/180)</f>
        <v>319.52257442176352</v>
      </c>
      <c r="H52">
        <f t="shared" si="19"/>
        <v>2</v>
      </c>
      <c r="I52" s="1">
        <f t="shared" si="29"/>
        <v>109.82810370086037</v>
      </c>
      <c r="J52" s="1">
        <f t="shared" si="30"/>
        <v>23.063508505675543</v>
      </c>
      <c r="K52">
        <v>55</v>
      </c>
      <c r="L52" s="1">
        <f>L$41+VLOOKUP(Lanes!M15,Data,7,FALSE)*(K15/180)</f>
        <v>324.52643338723124</v>
      </c>
      <c r="M52">
        <f t="shared" si="20"/>
        <v>3</v>
      </c>
      <c r="N52" s="1">
        <f t="shared" si="31"/>
        <v>110.82746919489293</v>
      </c>
      <c r="O52" s="1">
        <f t="shared" si="32"/>
        <v>23.763271758023851</v>
      </c>
      <c r="P52">
        <v>55</v>
      </c>
      <c r="Q52" s="1">
        <f>Q$41+VLOOKUP(Lanes!R15,Data,7,FALSE)*(P15/180)</f>
        <v>329.53029235269901</v>
      </c>
      <c r="R52">
        <f t="shared" si="21"/>
        <v>4</v>
      </c>
      <c r="S52" s="1">
        <f t="shared" si="33"/>
        <v>111.82683468892552</v>
      </c>
      <c r="T52" s="1">
        <f t="shared" si="34"/>
        <v>24.463035010372096</v>
      </c>
      <c r="U52">
        <v>55</v>
      </c>
      <c r="V52" s="1">
        <f>V$41+VLOOKUP(Lanes!W15,Data,7,FALSE)*(U15/180)</f>
        <v>334.53415131816672</v>
      </c>
      <c r="W52">
        <f t="shared" si="22"/>
        <v>5</v>
      </c>
      <c r="X52" s="1">
        <f t="shared" si="35"/>
        <v>112.82620018295806</v>
      </c>
      <c r="Y52" s="1">
        <f t="shared" si="36"/>
        <v>25.162798262720404</v>
      </c>
      <c r="Z52">
        <v>55</v>
      </c>
      <c r="AA52" s="1">
        <f>AA$41+VLOOKUP(Lanes!AB15,Data,7,FALSE)*(Z15/180)</f>
        <v>339.53801028363443</v>
      </c>
      <c r="AB52">
        <f t="shared" si="23"/>
        <v>6</v>
      </c>
      <c r="AC52" s="1">
        <f t="shared" si="37"/>
        <v>113.82556567699064</v>
      </c>
      <c r="AD52" s="1">
        <f t="shared" si="38"/>
        <v>25.862561515068681</v>
      </c>
      <c r="AE52">
        <v>55</v>
      </c>
      <c r="AF52" s="1">
        <f>AF$41+VLOOKUP(Lanes!AG15,Data,7,FALSE)*(AE15/180)</f>
        <v>344.54186924910221</v>
      </c>
      <c r="AG52">
        <f t="shared" si="24"/>
        <v>7</v>
      </c>
      <c r="AH52" s="1">
        <f t="shared" si="39"/>
        <v>114.8249311710232</v>
      </c>
      <c r="AI52" s="1">
        <f t="shared" si="40"/>
        <v>26.562324767416957</v>
      </c>
      <c r="AJ52">
        <v>55</v>
      </c>
      <c r="AK52" s="1">
        <f>AK$41+VLOOKUP(Lanes!AL15,Data,7,FALSE)*(AJ15/180)</f>
        <v>349.54572821456992</v>
      </c>
      <c r="AL52">
        <f t="shared" si="25"/>
        <v>8</v>
      </c>
      <c r="AM52" s="1">
        <f t="shared" si="41"/>
        <v>115.82429666505575</v>
      </c>
      <c r="AN52" s="1">
        <f t="shared" si="42"/>
        <v>27.26208801976523</v>
      </c>
      <c r="AO52">
        <v>55</v>
      </c>
      <c r="AP52" s="1">
        <f>AP$41+VLOOKUP(Lanes!AQ15,Data,7,FALSE)*(AO15/180)</f>
        <v>354.54958718003769</v>
      </c>
      <c r="AQ52">
        <f t="shared" si="26"/>
        <v>9</v>
      </c>
      <c r="AR52" s="1">
        <f t="shared" si="43"/>
        <v>116.82366215908834</v>
      </c>
      <c r="AS52" s="1">
        <f t="shared" si="44"/>
        <v>27.961851272113506</v>
      </c>
    </row>
    <row r="53" spans="1:45" x14ac:dyDescent="0.2">
      <c r="A53">
        <v>60</v>
      </c>
      <c r="B53" s="1">
        <f>B$41+VLOOKUP(Lanes!C16,Data,7,FALSE)*(A16/180)</f>
        <v>317.93868812557866</v>
      </c>
      <c r="C53">
        <f t="shared" si="18"/>
        <v>1</v>
      </c>
      <c r="D53" s="1">
        <f t="shared" si="27"/>
        <v>110.65633049355526</v>
      </c>
      <c r="E53" s="1">
        <f t="shared" si="28"/>
        <v>19.495000000000019</v>
      </c>
      <c r="F53">
        <v>60</v>
      </c>
      <c r="G53" s="1">
        <f>G$41+VLOOKUP(Lanes!H16,Data,7,FALSE)*(F16/180)</f>
        <v>323.04901217541806</v>
      </c>
      <c r="H53">
        <f t="shared" si="19"/>
        <v>2</v>
      </c>
      <c r="I53" s="1">
        <f t="shared" si="29"/>
        <v>111.71288148617228</v>
      </c>
      <c r="J53" s="1">
        <f t="shared" si="30"/>
        <v>20.105000000000018</v>
      </c>
      <c r="K53">
        <v>60</v>
      </c>
      <c r="L53" s="1">
        <f>L$41+VLOOKUP(Lanes!M16,Data,7,FALSE)*(K16/180)</f>
        <v>328.15933622525745</v>
      </c>
      <c r="M53">
        <f t="shared" si="20"/>
        <v>3</v>
      </c>
      <c r="N53" s="1">
        <f t="shared" si="31"/>
        <v>112.76943247878928</v>
      </c>
      <c r="O53" s="1">
        <f t="shared" si="32"/>
        <v>20.715000000000018</v>
      </c>
      <c r="P53">
        <v>60</v>
      </c>
      <c r="Q53" s="1">
        <f>Q$41+VLOOKUP(Lanes!R16,Data,7,FALSE)*(P16/180)</f>
        <v>333.26966027509684</v>
      </c>
      <c r="R53">
        <f t="shared" si="21"/>
        <v>4</v>
      </c>
      <c r="S53" s="1">
        <f t="shared" si="33"/>
        <v>113.82598347140629</v>
      </c>
      <c r="T53" s="1">
        <f t="shared" si="34"/>
        <v>21.325000000000017</v>
      </c>
      <c r="U53">
        <v>60</v>
      </c>
      <c r="V53" s="1">
        <f>V$41+VLOOKUP(Lanes!W16,Data,7,FALSE)*(U16/180)</f>
        <v>338.37998432493623</v>
      </c>
      <c r="W53">
        <f t="shared" si="22"/>
        <v>5</v>
      </c>
      <c r="X53" s="1">
        <f t="shared" si="35"/>
        <v>114.88253446402331</v>
      </c>
      <c r="Y53" s="1">
        <f t="shared" si="36"/>
        <v>21.935000000000016</v>
      </c>
      <c r="Z53">
        <v>60</v>
      </c>
      <c r="AA53" s="1">
        <f>AA$41+VLOOKUP(Lanes!AB16,Data,7,FALSE)*(Z16/180)</f>
        <v>343.49030837477562</v>
      </c>
      <c r="AB53">
        <f t="shared" si="23"/>
        <v>6</v>
      </c>
      <c r="AC53" s="1">
        <f t="shared" si="37"/>
        <v>115.93908545664033</v>
      </c>
      <c r="AD53" s="1">
        <f t="shared" si="38"/>
        <v>22.545000000000019</v>
      </c>
      <c r="AE53">
        <v>60</v>
      </c>
      <c r="AF53" s="1">
        <f>AF$41+VLOOKUP(Lanes!AG16,Data,7,FALSE)*(AE16/180)</f>
        <v>348.60063242461501</v>
      </c>
      <c r="AG53">
        <f t="shared" si="24"/>
        <v>7</v>
      </c>
      <c r="AH53" s="1">
        <f t="shared" si="39"/>
        <v>116.99563644925735</v>
      </c>
      <c r="AI53" s="1">
        <f t="shared" si="40"/>
        <v>23.155000000000019</v>
      </c>
      <c r="AJ53">
        <v>60</v>
      </c>
      <c r="AK53" s="1">
        <f>AK$41+VLOOKUP(Lanes!AL16,Data,7,FALSE)*(AJ16/180)</f>
        <v>353.71095647445441</v>
      </c>
      <c r="AL53">
        <f t="shared" si="25"/>
        <v>8</v>
      </c>
      <c r="AM53" s="1">
        <f t="shared" si="41"/>
        <v>118.05218744187435</v>
      </c>
      <c r="AN53" s="1">
        <f t="shared" si="42"/>
        <v>23.765000000000018</v>
      </c>
      <c r="AO53">
        <v>60</v>
      </c>
      <c r="AP53" s="1">
        <f>AP$41+VLOOKUP(Lanes!AQ16,Data,7,FALSE)*(AO16/180)</f>
        <v>358.8212805242938</v>
      </c>
      <c r="AQ53">
        <f t="shared" si="26"/>
        <v>9</v>
      </c>
      <c r="AR53" s="1">
        <f t="shared" si="43"/>
        <v>119.10873843449136</v>
      </c>
      <c r="AS53" s="1">
        <f t="shared" si="44"/>
        <v>24.375000000000018</v>
      </c>
    </row>
    <row r="54" spans="1:45" x14ac:dyDescent="0.2">
      <c r="A54">
        <v>65</v>
      </c>
      <c r="B54" s="1">
        <f>B$41+VLOOKUP(Lanes!C17,Data,7,FALSE)*(A17/180)</f>
        <v>321.35866079486152</v>
      </c>
      <c r="C54">
        <f t="shared" si="18"/>
        <v>1</v>
      </c>
      <c r="D54" s="1">
        <f t="shared" si="27"/>
        <v>112.22694061655896</v>
      </c>
      <c r="E54" s="1">
        <f t="shared" si="28"/>
        <v>16.477886025269925</v>
      </c>
      <c r="F54">
        <v>65</v>
      </c>
      <c r="G54" s="1">
        <f>G$41+VLOOKUP(Lanes!H17,Data,7,FALSE)*(F17/180)</f>
        <v>326.57544992907259</v>
      </c>
      <c r="H54">
        <f t="shared" si="19"/>
        <v>2</v>
      </c>
      <c r="I54" s="1">
        <f t="shared" si="29"/>
        <v>113.3326361167437</v>
      </c>
      <c r="J54" s="1">
        <f t="shared" si="30"/>
        <v>16.993480304593515</v>
      </c>
      <c r="K54">
        <v>65</v>
      </c>
      <c r="L54" s="1">
        <f>L$41+VLOOKUP(Lanes!M17,Data,7,FALSE)*(K17/180)</f>
        <v>331.79223906328366</v>
      </c>
      <c r="M54">
        <f t="shared" si="20"/>
        <v>3</v>
      </c>
      <c r="N54" s="1">
        <f t="shared" si="31"/>
        <v>114.43833161692841</v>
      </c>
      <c r="O54" s="1">
        <f t="shared" si="32"/>
        <v>17.509074583917165</v>
      </c>
      <c r="P54">
        <v>65</v>
      </c>
      <c r="Q54" s="1">
        <f>Q$41+VLOOKUP(Lanes!R17,Data,7,FALSE)*(P17/180)</f>
        <v>337.00902819749467</v>
      </c>
      <c r="R54">
        <f t="shared" si="21"/>
        <v>4</v>
      </c>
      <c r="S54" s="1">
        <f t="shared" si="33"/>
        <v>115.54402711711313</v>
      </c>
      <c r="T54" s="1">
        <f t="shared" si="34"/>
        <v>18.024668863240819</v>
      </c>
      <c r="U54">
        <v>65</v>
      </c>
      <c r="V54" s="1">
        <f>V$41+VLOOKUP(Lanes!W17,Data,7,FALSE)*(U17/180)</f>
        <v>342.22581733170574</v>
      </c>
      <c r="W54">
        <f t="shared" si="22"/>
        <v>5</v>
      </c>
      <c r="X54" s="1">
        <f t="shared" si="35"/>
        <v>116.64972261729784</v>
      </c>
      <c r="Y54" s="1">
        <f t="shared" si="36"/>
        <v>18.54026314256447</v>
      </c>
      <c r="Z54">
        <v>65</v>
      </c>
      <c r="AA54" s="1">
        <f>AA$41+VLOOKUP(Lanes!AB17,Data,7,FALSE)*(Z17/180)</f>
        <v>347.44260646591681</v>
      </c>
      <c r="AB54">
        <f t="shared" si="23"/>
        <v>6</v>
      </c>
      <c r="AC54" s="1">
        <f t="shared" si="37"/>
        <v>117.75541811748258</v>
      </c>
      <c r="AD54" s="1">
        <f t="shared" si="38"/>
        <v>19.055857421888085</v>
      </c>
      <c r="AE54">
        <v>65</v>
      </c>
      <c r="AF54" s="1">
        <f>AF$41+VLOOKUP(Lanes!AG17,Data,7,FALSE)*(AE17/180)</f>
        <v>352.65939560012782</v>
      </c>
      <c r="AG54">
        <f t="shared" si="24"/>
        <v>7</v>
      </c>
      <c r="AH54" s="1">
        <f t="shared" si="39"/>
        <v>118.86111361766726</v>
      </c>
      <c r="AI54" s="1">
        <f t="shared" si="40"/>
        <v>19.571451701211775</v>
      </c>
      <c r="AJ54">
        <v>65</v>
      </c>
      <c r="AK54" s="1">
        <f>AK$41+VLOOKUP(Lanes!AL17,Data,7,FALSE)*(AJ17/180)</f>
        <v>357.87618473433889</v>
      </c>
      <c r="AL54">
        <f t="shared" si="25"/>
        <v>8</v>
      </c>
      <c r="AM54" s="1">
        <f t="shared" si="41"/>
        <v>119.96680911785197</v>
      </c>
      <c r="AN54" s="1">
        <f t="shared" si="42"/>
        <v>20.087045980535429</v>
      </c>
      <c r="AO54">
        <v>65</v>
      </c>
      <c r="AP54" s="1">
        <f>AP$41+VLOOKUP(Lanes!AQ17,Data,7,FALSE)*(AO17/180)</f>
        <v>363.0929738685499</v>
      </c>
      <c r="AQ54">
        <f t="shared" si="26"/>
        <v>9</v>
      </c>
      <c r="AR54" s="1">
        <f t="shared" si="43"/>
        <v>121.07250461803667</v>
      </c>
      <c r="AS54" s="1">
        <f t="shared" si="44"/>
        <v>20.602640259859083</v>
      </c>
    </row>
    <row r="55" spans="1:45" x14ac:dyDescent="0.2">
      <c r="A55">
        <v>70</v>
      </c>
      <c r="B55" s="1">
        <f>B$41+VLOOKUP(Lanes!C18,Data,7,FALSE)*(A18/180)</f>
        <v>324.77863346414443</v>
      </c>
      <c r="C55">
        <f t="shared" si="18"/>
        <v>1</v>
      </c>
      <c r="D55" s="1">
        <f t="shared" si="27"/>
        <v>113.52861528444257</v>
      </c>
      <c r="E55" s="1">
        <f t="shared" si="28"/>
        <v>13.335365388267817</v>
      </c>
      <c r="F55">
        <v>70</v>
      </c>
      <c r="G55" s="1">
        <f>G$41+VLOOKUP(Lanes!H18,Data,7,FALSE)*(F18/180)</f>
        <v>330.10188768272712</v>
      </c>
      <c r="H55">
        <f t="shared" si="19"/>
        <v>2</v>
      </c>
      <c r="I55" s="1">
        <f t="shared" si="29"/>
        <v>114.67504028180139</v>
      </c>
      <c r="J55" s="1">
        <f t="shared" si="30"/>
        <v>13.752629963125132</v>
      </c>
      <c r="K55">
        <v>70</v>
      </c>
      <c r="L55" s="1">
        <f>L$41+VLOOKUP(Lanes!M18,Data,7,FALSE)*(K18/180)</f>
        <v>335.42514190130987</v>
      </c>
      <c r="M55">
        <f t="shared" si="20"/>
        <v>3</v>
      </c>
      <c r="N55" s="1">
        <f t="shared" si="31"/>
        <v>115.82146527916021</v>
      </c>
      <c r="O55" s="1">
        <f t="shared" si="32"/>
        <v>14.169894537982413</v>
      </c>
      <c r="P55">
        <v>70</v>
      </c>
      <c r="Q55" s="1">
        <f>Q$41+VLOOKUP(Lanes!R18,Data,7,FALSE)*(P18/180)</f>
        <v>340.74839611989256</v>
      </c>
      <c r="R55">
        <f t="shared" si="21"/>
        <v>4</v>
      </c>
      <c r="S55" s="1">
        <f t="shared" si="33"/>
        <v>116.967890276519</v>
      </c>
      <c r="T55" s="1">
        <f t="shared" si="34"/>
        <v>14.587159112839762</v>
      </c>
      <c r="U55">
        <v>70</v>
      </c>
      <c r="V55" s="1">
        <f>V$41+VLOOKUP(Lanes!W18,Data,7,FALSE)*(U18/180)</f>
        <v>346.07165033847525</v>
      </c>
      <c r="W55">
        <f t="shared" si="22"/>
        <v>5</v>
      </c>
      <c r="X55" s="1">
        <f t="shared" si="35"/>
        <v>118.11431527387779</v>
      </c>
      <c r="Y55" s="1">
        <f t="shared" si="36"/>
        <v>15.004423687697079</v>
      </c>
      <c r="Z55">
        <v>70</v>
      </c>
      <c r="AA55" s="1">
        <f>AA$41+VLOOKUP(Lanes!AB18,Data,7,FALSE)*(Z18/180)</f>
        <v>351.39490455705794</v>
      </c>
      <c r="AB55">
        <f t="shared" si="23"/>
        <v>6</v>
      </c>
      <c r="AC55" s="1">
        <f t="shared" si="37"/>
        <v>119.26074027123661</v>
      </c>
      <c r="AD55" s="1">
        <f t="shared" si="38"/>
        <v>15.421688262554394</v>
      </c>
      <c r="AE55">
        <v>70</v>
      </c>
      <c r="AF55" s="1">
        <f>AF$41+VLOOKUP(Lanes!AG18,Data,7,FALSE)*(AE18/180)</f>
        <v>356.71815877564063</v>
      </c>
      <c r="AG55">
        <f t="shared" si="24"/>
        <v>7</v>
      </c>
      <c r="AH55" s="1">
        <f t="shared" si="39"/>
        <v>120.40716526859541</v>
      </c>
      <c r="AI55" s="1">
        <f t="shared" si="40"/>
        <v>15.838952837411709</v>
      </c>
      <c r="AJ55">
        <v>70</v>
      </c>
      <c r="AK55" s="1">
        <f>AK$41+VLOOKUP(Lanes!AL18,Data,7,FALSE)*(AJ18/180)</f>
        <v>362.04141299422332</v>
      </c>
      <c r="AL55">
        <f t="shared" si="25"/>
        <v>8</v>
      </c>
      <c r="AM55" s="1">
        <f t="shared" si="41"/>
        <v>121.55359026595423</v>
      </c>
      <c r="AN55" s="1">
        <f t="shared" si="42"/>
        <v>16.256217412269024</v>
      </c>
      <c r="AO55">
        <v>70</v>
      </c>
      <c r="AP55" s="1">
        <f>AP$41+VLOOKUP(Lanes!AQ18,Data,7,FALSE)*(AO18/180)</f>
        <v>367.36466721280601</v>
      </c>
      <c r="AQ55">
        <f t="shared" si="26"/>
        <v>9</v>
      </c>
      <c r="AR55" s="1">
        <f t="shared" si="43"/>
        <v>122.70001526331302</v>
      </c>
      <c r="AS55" s="1">
        <f t="shared" si="44"/>
        <v>16.67348198712638</v>
      </c>
    </row>
    <row r="56" spans="1:45" x14ac:dyDescent="0.2">
      <c r="A56">
        <v>75</v>
      </c>
      <c r="B56" s="1">
        <f>B$41+VLOOKUP(Lanes!C19,Data,7,FALSE)*(A19/180)</f>
        <v>328.19860613342735</v>
      </c>
      <c r="C56">
        <f t="shared" si="18"/>
        <v>1</v>
      </c>
      <c r="D56" s="1">
        <f t="shared" si="27"/>
        <v>114.55144796701077</v>
      </c>
      <c r="E56" s="1">
        <f t="shared" si="28"/>
        <v>10.091354568547279</v>
      </c>
      <c r="F56">
        <v>75</v>
      </c>
      <c r="G56" s="1">
        <f>G$41+VLOOKUP(Lanes!H19,Data,7,FALSE)*(F19/180)</f>
        <v>333.62832543638166</v>
      </c>
      <c r="H56">
        <f t="shared" si="19"/>
        <v>2</v>
      </c>
      <c r="I56" s="1">
        <f t="shared" si="29"/>
        <v>115.72987747508343</v>
      </c>
      <c r="J56" s="1">
        <f t="shared" si="30"/>
        <v>10.40711380357239</v>
      </c>
      <c r="K56">
        <v>75</v>
      </c>
      <c r="L56" s="1">
        <f>L$41+VLOOKUP(Lanes!M19,Data,7,FALSE)*(K19/180)</f>
        <v>339.05804473933603</v>
      </c>
      <c r="M56">
        <f t="shared" si="20"/>
        <v>3</v>
      </c>
      <c r="N56" s="1">
        <f t="shared" si="31"/>
        <v>116.90830698315611</v>
      </c>
      <c r="O56" s="1">
        <f t="shared" si="32"/>
        <v>10.722873038597429</v>
      </c>
      <c r="P56">
        <v>75</v>
      </c>
      <c r="Q56" s="1">
        <f>Q$41+VLOOKUP(Lanes!R19,Data,7,FALSE)*(P19/180)</f>
        <v>344.48776404229039</v>
      </c>
      <c r="R56">
        <f t="shared" si="21"/>
        <v>4</v>
      </c>
      <c r="S56" s="1">
        <f t="shared" si="33"/>
        <v>118.08673649122876</v>
      </c>
      <c r="T56" s="1">
        <f t="shared" si="34"/>
        <v>11.038632273622504</v>
      </c>
      <c r="U56">
        <v>75</v>
      </c>
      <c r="V56" s="1">
        <f>V$41+VLOOKUP(Lanes!W19,Data,7,FALSE)*(U19/180)</f>
        <v>349.91748334524476</v>
      </c>
      <c r="W56">
        <f t="shared" si="22"/>
        <v>5</v>
      </c>
      <c r="X56" s="1">
        <f t="shared" si="35"/>
        <v>119.26516599930142</v>
      </c>
      <c r="Y56" s="1">
        <f t="shared" si="36"/>
        <v>11.354391508647579</v>
      </c>
      <c r="Z56">
        <v>75</v>
      </c>
      <c r="AA56" s="1">
        <f>AA$41+VLOOKUP(Lanes!AB19,Data,7,FALSE)*(Z19/180)</f>
        <v>355.34720264819907</v>
      </c>
      <c r="AB56">
        <f t="shared" si="23"/>
        <v>6</v>
      </c>
      <c r="AC56" s="1">
        <f t="shared" si="37"/>
        <v>120.44359550737408</v>
      </c>
      <c r="AD56" s="1">
        <f t="shared" si="38"/>
        <v>11.670150743672695</v>
      </c>
      <c r="AE56">
        <v>75</v>
      </c>
      <c r="AF56" s="1">
        <f>AF$41+VLOOKUP(Lanes!AG19,Data,7,FALSE)*(AE19/180)</f>
        <v>360.77692195115344</v>
      </c>
      <c r="AG56">
        <f t="shared" si="24"/>
        <v>7</v>
      </c>
      <c r="AH56" s="1">
        <f t="shared" si="39"/>
        <v>121.62202501544675</v>
      </c>
      <c r="AI56" s="1">
        <f t="shared" si="40"/>
        <v>11.985909978697729</v>
      </c>
      <c r="AJ56">
        <v>75</v>
      </c>
      <c r="AK56" s="1">
        <f>AK$41+VLOOKUP(Lanes!AL19,Data,7,FALSE)*(AJ19/180)</f>
        <v>366.20664125410781</v>
      </c>
      <c r="AL56">
        <f t="shared" si="25"/>
        <v>8</v>
      </c>
      <c r="AM56" s="1">
        <f t="shared" si="41"/>
        <v>122.80045452351942</v>
      </c>
      <c r="AN56" s="1">
        <f t="shared" si="42"/>
        <v>12.301669213722803</v>
      </c>
      <c r="AO56">
        <v>75</v>
      </c>
      <c r="AP56" s="1">
        <f>AP$41+VLOOKUP(Lanes!AQ19,Data,7,FALSE)*(AO19/180)</f>
        <v>371.63636055706218</v>
      </c>
      <c r="AQ56">
        <f t="shared" si="26"/>
        <v>9</v>
      </c>
      <c r="AR56" s="1">
        <f t="shared" si="43"/>
        <v>123.97888403159207</v>
      </c>
      <c r="AS56" s="1">
        <f t="shared" si="44"/>
        <v>12.617428448747878</v>
      </c>
    </row>
    <row r="57" spans="1:45" x14ac:dyDescent="0.2">
      <c r="A57">
        <v>80</v>
      </c>
      <c r="B57" s="1">
        <f>B$41+VLOOKUP(Lanes!C20,Data,7,FALSE)*(A20/180)</f>
        <v>331.6185788027102</v>
      </c>
      <c r="C57">
        <f t="shared" si="18"/>
        <v>1</v>
      </c>
      <c r="D57" s="1">
        <f t="shared" si="27"/>
        <v>115.28765428994599</v>
      </c>
      <c r="E57" s="1">
        <f t="shared" si="28"/>
        <v>6.7705424472336135</v>
      </c>
      <c r="F57">
        <v>80</v>
      </c>
      <c r="G57" s="1">
        <f>G$41+VLOOKUP(Lanes!H20,Data,7,FALSE)*(F20/180)</f>
        <v>337.15476319003619</v>
      </c>
      <c r="H57">
        <f t="shared" si="19"/>
        <v>2</v>
      </c>
      <c r="I57" s="1">
        <f t="shared" si="29"/>
        <v>116.48911974862088</v>
      </c>
      <c r="J57" s="1">
        <f t="shared" si="30"/>
        <v>6.9823932239873034</v>
      </c>
      <c r="K57">
        <v>80</v>
      </c>
      <c r="L57" s="1">
        <f>L$41+VLOOKUP(Lanes!M20,Data,7,FALSE)*(K20/180)</f>
        <v>342.69094757736224</v>
      </c>
      <c r="M57">
        <f t="shared" si="20"/>
        <v>3</v>
      </c>
      <c r="N57" s="1">
        <f t="shared" si="31"/>
        <v>117.69058520729578</v>
      </c>
      <c r="O57" s="1">
        <f t="shared" si="32"/>
        <v>7.1942440007409232</v>
      </c>
      <c r="P57">
        <v>80</v>
      </c>
      <c r="Q57" s="1">
        <f>Q$41+VLOOKUP(Lanes!R20,Data,7,FALSE)*(P20/180)</f>
        <v>348.22713196468823</v>
      </c>
      <c r="R57">
        <f t="shared" si="21"/>
        <v>4</v>
      </c>
      <c r="S57" s="1">
        <f t="shared" si="33"/>
        <v>118.89205066597067</v>
      </c>
      <c r="T57" s="1">
        <f t="shared" si="34"/>
        <v>7.4060947774945785</v>
      </c>
      <c r="U57">
        <v>80</v>
      </c>
      <c r="V57" s="1">
        <f>V$41+VLOOKUP(Lanes!W20,Data,7,FALSE)*(U20/180)</f>
        <v>353.76331635201427</v>
      </c>
      <c r="W57">
        <f t="shared" si="22"/>
        <v>5</v>
      </c>
      <c r="X57" s="1">
        <f t="shared" si="35"/>
        <v>120.09351612464556</v>
      </c>
      <c r="Y57" s="1">
        <f t="shared" si="36"/>
        <v>7.6179455542482328</v>
      </c>
      <c r="Z57">
        <v>80</v>
      </c>
      <c r="AA57" s="1">
        <f>AA$41+VLOOKUP(Lanes!AB20,Data,7,FALSE)*(Z20/180)</f>
        <v>359.29950073934026</v>
      </c>
      <c r="AB57">
        <f t="shared" si="23"/>
        <v>6</v>
      </c>
      <c r="AC57" s="1">
        <f t="shared" si="37"/>
        <v>121.29498158332046</v>
      </c>
      <c r="AD57" s="1">
        <f t="shared" si="38"/>
        <v>7.8297963310018881</v>
      </c>
      <c r="AE57">
        <v>80</v>
      </c>
      <c r="AF57" s="1">
        <f>AF$41+VLOOKUP(Lanes!AG20,Data,7,FALSE)*(AE20/180)</f>
        <v>364.83568512666625</v>
      </c>
      <c r="AG57">
        <f t="shared" si="24"/>
        <v>7</v>
      </c>
      <c r="AH57" s="1">
        <f t="shared" si="39"/>
        <v>122.49644704199534</v>
      </c>
      <c r="AI57" s="1">
        <f t="shared" si="40"/>
        <v>8.0416471077555425</v>
      </c>
      <c r="AJ57">
        <v>80</v>
      </c>
      <c r="AK57" s="1">
        <f>AK$41+VLOOKUP(Lanes!AL20,Data,7,FALSE)*(AJ20/180)</f>
        <v>370.37186951399224</v>
      </c>
      <c r="AL57">
        <f t="shared" si="25"/>
        <v>8</v>
      </c>
      <c r="AM57" s="1">
        <f t="shared" si="41"/>
        <v>123.69791250067024</v>
      </c>
      <c r="AN57" s="1">
        <f t="shared" si="42"/>
        <v>8.2534978845092386</v>
      </c>
      <c r="AO57">
        <v>80</v>
      </c>
      <c r="AP57" s="1">
        <f>AP$41+VLOOKUP(Lanes!AQ20,Data,7,FALSE)*(AO20/180)</f>
        <v>375.90805390131828</v>
      </c>
      <c r="AQ57">
        <f t="shared" si="26"/>
        <v>9</v>
      </c>
      <c r="AR57" s="1">
        <f t="shared" si="43"/>
        <v>124.89937795934514</v>
      </c>
      <c r="AS57" s="1">
        <f t="shared" si="44"/>
        <v>8.465348661262853</v>
      </c>
    </row>
    <row r="58" spans="1:45" x14ac:dyDescent="0.2">
      <c r="A58">
        <v>85</v>
      </c>
      <c r="B58" s="1">
        <f>B$41+VLOOKUP(Lanes!C21,Data,7,FALSE)*(A21/180)</f>
        <v>335.03855147199312</v>
      </c>
      <c r="C58">
        <f t="shared" si="18"/>
        <v>1</v>
      </c>
      <c r="D58" s="1">
        <f t="shared" si="27"/>
        <v>115.73163127859716</v>
      </c>
      <c r="E58" s="1">
        <f t="shared" si="28"/>
        <v>3.3982024097311951</v>
      </c>
      <c r="F58">
        <v>85</v>
      </c>
      <c r="G58" s="1">
        <f>G$41+VLOOKUP(Lanes!H21,Data,7,FALSE)*(F21/180)</f>
        <v>340.68120094369078</v>
      </c>
      <c r="H58">
        <f t="shared" si="19"/>
        <v>2</v>
      </c>
      <c r="I58" s="1">
        <f t="shared" si="29"/>
        <v>116.94698881026909</v>
      </c>
      <c r="J58" s="1">
        <f t="shared" si="30"/>
        <v>3.5045324158833382</v>
      </c>
      <c r="K58">
        <v>85</v>
      </c>
      <c r="L58" s="1">
        <f>L$41+VLOOKUP(Lanes!M21,Data,7,FALSE)*(K21/180)</f>
        <v>346.32385041538845</v>
      </c>
      <c r="M58">
        <f t="shared" si="20"/>
        <v>3</v>
      </c>
      <c r="N58" s="1">
        <f t="shared" si="31"/>
        <v>118.16234634194102</v>
      </c>
      <c r="O58" s="1">
        <f t="shared" si="32"/>
        <v>3.6108624220354812</v>
      </c>
      <c r="P58">
        <v>85</v>
      </c>
      <c r="Q58" s="1">
        <f>Q$41+VLOOKUP(Lanes!R21,Data,7,FALSE)*(P21/180)</f>
        <v>351.96649988708612</v>
      </c>
      <c r="R58">
        <f t="shared" si="21"/>
        <v>4</v>
      </c>
      <c r="S58" s="1">
        <f t="shared" si="33"/>
        <v>119.37770387361294</v>
      </c>
      <c r="T58" s="1">
        <f t="shared" si="34"/>
        <v>3.7171924281876243</v>
      </c>
      <c r="U58">
        <v>85</v>
      </c>
      <c r="V58" s="1">
        <f>V$41+VLOOKUP(Lanes!W21,Data,7,FALSE)*(U21/180)</f>
        <v>357.60914935878372</v>
      </c>
      <c r="W58">
        <f t="shared" si="22"/>
        <v>5</v>
      </c>
      <c r="X58" s="1">
        <f t="shared" si="35"/>
        <v>120.59306140528487</v>
      </c>
      <c r="Y58" s="1">
        <f t="shared" si="36"/>
        <v>3.823522434339806</v>
      </c>
      <c r="Z58">
        <v>85</v>
      </c>
      <c r="AA58" s="1">
        <f>AA$41+VLOOKUP(Lanes!AB21,Data,7,FALSE)*(Z21/180)</f>
        <v>363.25179883048145</v>
      </c>
      <c r="AB58">
        <f t="shared" si="23"/>
        <v>6</v>
      </c>
      <c r="AC58" s="1">
        <f t="shared" si="37"/>
        <v>121.8084189369568</v>
      </c>
      <c r="AD58" s="1">
        <f t="shared" si="38"/>
        <v>3.9298524404918709</v>
      </c>
      <c r="AE58">
        <v>85</v>
      </c>
      <c r="AF58" s="1">
        <f>AF$41+VLOOKUP(Lanes!AG21,Data,7,FALSE)*(AE21/180)</f>
        <v>368.89444830217906</v>
      </c>
      <c r="AG58">
        <f t="shared" si="24"/>
        <v>7</v>
      </c>
      <c r="AH58" s="1">
        <f t="shared" si="39"/>
        <v>123.02377646862874</v>
      </c>
      <c r="AI58" s="1">
        <f t="shared" si="40"/>
        <v>4.0361824466440535</v>
      </c>
      <c r="AJ58">
        <v>85</v>
      </c>
      <c r="AK58" s="1">
        <f>AK$41+VLOOKUP(Lanes!AL21,Data,7,FALSE)*(AJ21/180)</f>
        <v>374.53709777387672</v>
      </c>
      <c r="AL58">
        <f t="shared" si="25"/>
        <v>8</v>
      </c>
      <c r="AM58" s="1">
        <f t="shared" si="41"/>
        <v>124.23913400030065</v>
      </c>
      <c r="AN58" s="1">
        <f t="shared" si="42"/>
        <v>4.1425124527961961</v>
      </c>
      <c r="AO58">
        <v>85</v>
      </c>
      <c r="AP58" s="1">
        <f>AP$41+VLOOKUP(Lanes!AQ21,Data,7,FALSE)*(AO21/180)</f>
        <v>380.17974724557439</v>
      </c>
      <c r="AQ58">
        <f t="shared" si="26"/>
        <v>9</v>
      </c>
      <c r="AR58" s="1">
        <f t="shared" si="43"/>
        <v>125.45449153197259</v>
      </c>
      <c r="AS58" s="1">
        <f t="shared" si="44"/>
        <v>4.2488424589483387</v>
      </c>
    </row>
    <row r="59" spans="1:45" x14ac:dyDescent="0.2">
      <c r="A59">
        <v>90</v>
      </c>
      <c r="B59" s="1">
        <f>B$41+VLOOKUP(Lanes!C22,Data,7,FALSE)*(A22/180)</f>
        <v>338.45852414127597</v>
      </c>
      <c r="C59">
        <f t="shared" si="18"/>
        <v>1</v>
      </c>
      <c r="D59" s="1">
        <f t="shared" si="27"/>
        <v>115.88</v>
      </c>
      <c r="E59" s="1">
        <f t="shared" si="28"/>
        <v>7.1623468048132947E-15</v>
      </c>
      <c r="F59">
        <v>90</v>
      </c>
      <c r="G59" s="1">
        <f>G$41+VLOOKUP(Lanes!H22,Data,7,FALSE)*(F22/180)</f>
        <v>344.20763869734532</v>
      </c>
      <c r="H59">
        <f t="shared" si="19"/>
        <v>2</v>
      </c>
      <c r="I59" s="1">
        <f t="shared" si="29"/>
        <v>117.1</v>
      </c>
      <c r="J59" s="1">
        <f t="shared" si="30"/>
        <v>7.3864571690572602E-15</v>
      </c>
      <c r="K59">
        <v>90</v>
      </c>
      <c r="L59" s="1">
        <f>L$41+VLOOKUP(Lanes!M22,Data,7,FALSE)*(K22/180)</f>
        <v>349.9567532534146</v>
      </c>
      <c r="M59">
        <f t="shared" si="20"/>
        <v>3</v>
      </c>
      <c r="N59" s="1">
        <f t="shared" si="31"/>
        <v>118.32</v>
      </c>
      <c r="O59" s="1">
        <f t="shared" si="32"/>
        <v>4.4407799461477409E-14</v>
      </c>
      <c r="P59">
        <v>90</v>
      </c>
      <c r="Q59" s="1">
        <f>Q$41+VLOOKUP(Lanes!R22,Data,7,FALSE)*(P22/180)</f>
        <v>355.70586780948395</v>
      </c>
      <c r="R59">
        <f t="shared" si="21"/>
        <v>4</v>
      </c>
      <c r="S59" s="1">
        <f t="shared" si="33"/>
        <v>119.53999999999999</v>
      </c>
      <c r="T59" s="1">
        <f t="shared" si="34"/>
        <v>7.8346778975451912E-15</v>
      </c>
      <c r="U59">
        <v>90</v>
      </c>
      <c r="V59" s="1">
        <f>V$41+VLOOKUP(Lanes!W22,Data,7,FALSE)*(U22/180)</f>
        <v>361.45498236555329</v>
      </c>
      <c r="W59">
        <f t="shared" si="22"/>
        <v>5</v>
      </c>
      <c r="X59" s="1">
        <f t="shared" si="35"/>
        <v>120.75999999999999</v>
      </c>
      <c r="Y59" s="1">
        <f t="shared" si="36"/>
        <v>-3.090559901045533E-14</v>
      </c>
      <c r="Z59">
        <v>90</v>
      </c>
      <c r="AA59" s="1">
        <f>AA$41+VLOOKUP(Lanes!AB22,Data,7,FALSE)*(Z22/180)</f>
        <v>367.20409692162258</v>
      </c>
      <c r="AB59">
        <f t="shared" si="23"/>
        <v>6</v>
      </c>
      <c r="AC59" s="1">
        <f t="shared" si="37"/>
        <v>121.97999999999999</v>
      </c>
      <c r="AD59" s="1">
        <f t="shared" si="38"/>
        <v>8.2828986260331222E-15</v>
      </c>
      <c r="AE59">
        <v>90</v>
      </c>
      <c r="AF59" s="1">
        <f>AF$41+VLOOKUP(Lanes!AG22,Data,7,FALSE)*(AE22/180)</f>
        <v>372.95321147769187</v>
      </c>
      <c r="AG59">
        <f t="shared" si="24"/>
        <v>7</v>
      </c>
      <c r="AH59" s="1">
        <f t="shared" si="39"/>
        <v>123.19999999999999</v>
      </c>
      <c r="AI59" s="1">
        <f t="shared" si="40"/>
        <v>4.9638551606589878E-14</v>
      </c>
      <c r="AJ59">
        <v>90</v>
      </c>
      <c r="AK59" s="1">
        <f>AK$41+VLOOKUP(Lanes!AL22,Data,7,FALSE)*(AJ22/180)</f>
        <v>378.70232603376121</v>
      </c>
      <c r="AL59">
        <f t="shared" si="25"/>
        <v>8</v>
      </c>
      <c r="AM59" s="1">
        <f t="shared" si="41"/>
        <v>124.41999999999999</v>
      </c>
      <c r="AN59" s="1">
        <f t="shared" si="42"/>
        <v>8.7311193545210532E-15</v>
      </c>
      <c r="AO59">
        <v>90</v>
      </c>
      <c r="AP59" s="1">
        <f>AP$41+VLOOKUP(Lanes!AQ22,Data,7,FALSE)*(AO22/180)</f>
        <v>384.45144058983055</v>
      </c>
      <c r="AQ59">
        <f t="shared" si="26"/>
        <v>9</v>
      </c>
      <c r="AR59" s="1">
        <f t="shared" si="43"/>
        <v>125.63999999999999</v>
      </c>
      <c r="AS59" s="1">
        <f t="shared" si="44"/>
        <v>-3.4343468241616075E-14</v>
      </c>
    </row>
    <row r="60" spans="1:45" x14ac:dyDescent="0.2">
      <c r="A60">
        <v>95</v>
      </c>
      <c r="B60" s="1">
        <f>B$41+VLOOKUP(Lanes!C23,Data,7,FALSE)*(A23/180)</f>
        <v>341.87849681055889</v>
      </c>
      <c r="C60">
        <f t="shared" si="18"/>
        <v>1</v>
      </c>
      <c r="D60" s="1">
        <f t="shared" si="27"/>
        <v>115.73163127859716</v>
      </c>
      <c r="E60" s="1">
        <f t="shared" si="28"/>
        <v>-3.3982024097311814</v>
      </c>
      <c r="F60">
        <v>95</v>
      </c>
      <c r="G60" s="1">
        <f>G$41+VLOOKUP(Lanes!H23,Data,7,FALSE)*(F23/180)</f>
        <v>347.73407645099985</v>
      </c>
      <c r="H60">
        <f t="shared" si="19"/>
        <v>2</v>
      </c>
      <c r="I60" s="1">
        <f t="shared" si="29"/>
        <v>116.94698881026909</v>
      </c>
      <c r="J60" s="1">
        <f t="shared" si="30"/>
        <v>-3.504532415883324</v>
      </c>
      <c r="K60">
        <v>95</v>
      </c>
      <c r="L60" s="1">
        <f>L$41+VLOOKUP(Lanes!M23,Data,7,FALSE)*(K23/180)</f>
        <v>353.58965609144082</v>
      </c>
      <c r="M60">
        <f t="shared" si="20"/>
        <v>3</v>
      </c>
      <c r="N60" s="1">
        <f t="shared" si="31"/>
        <v>118.16234634194102</v>
      </c>
      <c r="O60" s="1">
        <f t="shared" si="32"/>
        <v>-3.6108624220354661</v>
      </c>
      <c r="P60">
        <v>95</v>
      </c>
      <c r="Q60" s="1">
        <f>Q$41+VLOOKUP(Lanes!R23,Data,7,FALSE)*(P23/180)</f>
        <v>359.44523573188178</v>
      </c>
      <c r="R60">
        <f t="shared" si="21"/>
        <v>4</v>
      </c>
      <c r="S60" s="1">
        <f t="shared" si="33"/>
        <v>119.37770387361294</v>
      </c>
      <c r="T60" s="1">
        <f t="shared" si="34"/>
        <v>-3.7171924281876088</v>
      </c>
      <c r="U60">
        <v>95</v>
      </c>
      <c r="V60" s="1">
        <f>V$41+VLOOKUP(Lanes!W23,Data,7,FALSE)*(U23/180)</f>
        <v>365.30081537232275</v>
      </c>
      <c r="W60">
        <f t="shared" si="22"/>
        <v>5</v>
      </c>
      <c r="X60" s="1">
        <f t="shared" si="35"/>
        <v>120.59306140528489</v>
      </c>
      <c r="Y60" s="1">
        <f t="shared" si="36"/>
        <v>-3.8235224343397123</v>
      </c>
      <c r="Z60">
        <v>95</v>
      </c>
      <c r="AA60" s="1">
        <f>AA$41+VLOOKUP(Lanes!AB23,Data,7,FALSE)*(Z23/180)</f>
        <v>371.15639501276371</v>
      </c>
      <c r="AB60">
        <f t="shared" si="23"/>
        <v>6</v>
      </c>
      <c r="AC60" s="1">
        <f t="shared" si="37"/>
        <v>121.8084189369568</v>
      </c>
      <c r="AD60" s="1">
        <f t="shared" si="38"/>
        <v>-3.929852440491854</v>
      </c>
      <c r="AE60">
        <v>95</v>
      </c>
      <c r="AF60" s="1">
        <f>AF$41+VLOOKUP(Lanes!AG23,Data,7,FALSE)*(AE23/180)</f>
        <v>377.01197465320467</v>
      </c>
      <c r="AG60">
        <f t="shared" si="24"/>
        <v>7</v>
      </c>
      <c r="AH60" s="1">
        <f t="shared" si="39"/>
        <v>123.02377646862874</v>
      </c>
      <c r="AI60" s="1">
        <f t="shared" si="40"/>
        <v>-4.0361824466439948</v>
      </c>
      <c r="AJ60">
        <v>95</v>
      </c>
      <c r="AK60" s="1">
        <f>AK$41+VLOOKUP(Lanes!AL23,Data,7,FALSE)*(AJ23/180)</f>
        <v>382.8675542936457</v>
      </c>
      <c r="AL60">
        <f t="shared" si="25"/>
        <v>8</v>
      </c>
      <c r="AM60" s="1">
        <f t="shared" si="41"/>
        <v>124.23913400030065</v>
      </c>
      <c r="AN60" s="1">
        <f t="shared" si="42"/>
        <v>-4.1425124527961792</v>
      </c>
      <c r="AO60">
        <v>95</v>
      </c>
      <c r="AP60" s="1">
        <f>AP$41+VLOOKUP(Lanes!AQ23,Data,7,FALSE)*(AO23/180)</f>
        <v>388.72313393408666</v>
      </c>
      <c r="AQ60">
        <f t="shared" si="26"/>
        <v>9</v>
      </c>
      <c r="AR60" s="1">
        <f t="shared" si="43"/>
        <v>125.45449153197259</v>
      </c>
      <c r="AS60" s="1">
        <f t="shared" si="44"/>
        <v>-4.2488424589483218</v>
      </c>
    </row>
    <row r="61" spans="1:45" x14ac:dyDescent="0.2">
      <c r="A61">
        <v>100</v>
      </c>
      <c r="B61" s="1">
        <f>B$41+VLOOKUP(Lanes!C24,Data,7,FALSE)*(A24/180)</f>
        <v>345.29846947984174</v>
      </c>
      <c r="C61">
        <f t="shared" si="18"/>
        <v>1</v>
      </c>
      <c r="D61" s="1">
        <f t="shared" si="27"/>
        <v>115.287654289946</v>
      </c>
      <c r="E61" s="1">
        <f t="shared" si="28"/>
        <v>-6.7705424472336002</v>
      </c>
      <c r="F61">
        <v>100</v>
      </c>
      <c r="G61" s="1">
        <f>G$41+VLOOKUP(Lanes!H24,Data,7,FALSE)*(F24/180)</f>
        <v>351.26051420465438</v>
      </c>
      <c r="H61">
        <f t="shared" si="19"/>
        <v>2</v>
      </c>
      <c r="I61" s="1">
        <f t="shared" si="29"/>
        <v>116.48911974862089</v>
      </c>
      <c r="J61" s="1">
        <f t="shared" si="30"/>
        <v>-6.9823932239872546</v>
      </c>
      <c r="K61">
        <v>100</v>
      </c>
      <c r="L61" s="1">
        <f>L$41+VLOOKUP(Lanes!M24,Data,7,FALSE)*(K24/180)</f>
        <v>357.22255892946703</v>
      </c>
      <c r="M61">
        <f t="shared" si="20"/>
        <v>3</v>
      </c>
      <c r="N61" s="1">
        <f t="shared" si="31"/>
        <v>117.69058520729578</v>
      </c>
      <c r="O61" s="1">
        <f t="shared" si="32"/>
        <v>-7.194244000740909</v>
      </c>
      <c r="P61">
        <v>100</v>
      </c>
      <c r="Q61" s="1">
        <f>Q$41+VLOOKUP(Lanes!R24,Data,7,FALSE)*(P24/180)</f>
        <v>363.18460365427967</v>
      </c>
      <c r="R61">
        <f t="shared" si="21"/>
        <v>4</v>
      </c>
      <c r="S61" s="1">
        <f t="shared" si="33"/>
        <v>118.89205066597069</v>
      </c>
      <c r="T61" s="1">
        <f t="shared" si="34"/>
        <v>-7.4060947774945634</v>
      </c>
      <c r="U61">
        <v>100</v>
      </c>
      <c r="V61" s="1">
        <f>V$41+VLOOKUP(Lanes!W24,Data,7,FALSE)*(U24/180)</f>
        <v>369.14664837909231</v>
      </c>
      <c r="W61">
        <f t="shared" si="22"/>
        <v>5</v>
      </c>
      <c r="X61" s="1">
        <f t="shared" si="35"/>
        <v>120.09351612464556</v>
      </c>
      <c r="Y61" s="1">
        <f t="shared" si="36"/>
        <v>-7.617945554248255</v>
      </c>
      <c r="Z61">
        <v>100</v>
      </c>
      <c r="AA61" s="1">
        <f>AA$41+VLOOKUP(Lanes!AB24,Data,7,FALSE)*(Z24/180)</f>
        <v>375.1086931039049</v>
      </c>
      <c r="AB61">
        <f t="shared" si="23"/>
        <v>6</v>
      </c>
      <c r="AC61" s="1">
        <f t="shared" si="37"/>
        <v>121.29498158332046</v>
      </c>
      <c r="AD61" s="1">
        <f t="shared" si="38"/>
        <v>-7.8297963310018721</v>
      </c>
      <c r="AE61">
        <v>100</v>
      </c>
      <c r="AF61" s="1">
        <f>AF$41+VLOOKUP(Lanes!AG24,Data,7,FALSE)*(AE24/180)</f>
        <v>381.07073782871754</v>
      </c>
      <c r="AG61">
        <f t="shared" si="24"/>
        <v>7</v>
      </c>
      <c r="AH61" s="1">
        <f t="shared" si="39"/>
        <v>122.49644704199535</v>
      </c>
      <c r="AI61" s="1">
        <f t="shared" si="40"/>
        <v>-8.0416471077555265</v>
      </c>
      <c r="AJ61">
        <v>100</v>
      </c>
      <c r="AK61" s="1">
        <f>AK$41+VLOOKUP(Lanes!AL24,Data,7,FALSE)*(AJ24/180)</f>
        <v>387.03278255353018</v>
      </c>
      <c r="AL61">
        <f t="shared" si="25"/>
        <v>8</v>
      </c>
      <c r="AM61" s="1">
        <f t="shared" si="41"/>
        <v>123.69791250067024</v>
      </c>
      <c r="AN61" s="1">
        <f t="shared" si="42"/>
        <v>-8.2534978845092208</v>
      </c>
      <c r="AO61">
        <v>100</v>
      </c>
      <c r="AP61" s="1">
        <f>AP$41+VLOOKUP(Lanes!AQ24,Data,7,FALSE)*(AO24/180)</f>
        <v>392.99482727834277</v>
      </c>
      <c r="AQ61">
        <f t="shared" si="26"/>
        <v>9</v>
      </c>
      <c r="AR61" s="1">
        <f t="shared" si="43"/>
        <v>124.89937795934514</v>
      </c>
      <c r="AS61" s="1">
        <f t="shared" si="44"/>
        <v>-8.4653486612628353</v>
      </c>
    </row>
    <row r="62" spans="1:45" x14ac:dyDescent="0.2">
      <c r="A62">
        <v>105</v>
      </c>
      <c r="B62" s="1">
        <f>B$41+VLOOKUP(Lanes!C25,Data,7,FALSE)*(A25/180)</f>
        <v>348.71844214912466</v>
      </c>
      <c r="C62">
        <f t="shared" si="18"/>
        <v>1</v>
      </c>
      <c r="D62" s="1">
        <f t="shared" si="27"/>
        <v>114.55144796701077</v>
      </c>
      <c r="E62" s="1">
        <f t="shared" si="28"/>
        <v>-10.091354568547267</v>
      </c>
      <c r="F62">
        <v>105</v>
      </c>
      <c r="G62" s="1">
        <f>G$41+VLOOKUP(Lanes!H25,Data,7,FALSE)*(F25/180)</f>
        <v>354.78695195830892</v>
      </c>
      <c r="H62">
        <f t="shared" si="19"/>
        <v>2</v>
      </c>
      <c r="I62" s="1">
        <f t="shared" si="29"/>
        <v>115.72987747508344</v>
      </c>
      <c r="J62" s="1">
        <f t="shared" si="30"/>
        <v>-10.407113803572342</v>
      </c>
      <c r="K62">
        <v>105</v>
      </c>
      <c r="L62" s="1">
        <f>L$41+VLOOKUP(Lanes!M25,Data,7,FALSE)*(K25/180)</f>
        <v>360.85546176749324</v>
      </c>
      <c r="M62">
        <f t="shared" si="20"/>
        <v>3</v>
      </c>
      <c r="N62" s="1">
        <f t="shared" si="31"/>
        <v>116.90830698315611</v>
      </c>
      <c r="O62" s="1">
        <f t="shared" si="32"/>
        <v>-10.722873038597415</v>
      </c>
      <c r="P62">
        <v>105</v>
      </c>
      <c r="Q62" s="1">
        <f>Q$41+VLOOKUP(Lanes!R25,Data,7,FALSE)*(P25/180)</f>
        <v>366.9239715766775</v>
      </c>
      <c r="R62">
        <f t="shared" si="21"/>
        <v>4</v>
      </c>
      <c r="S62" s="1">
        <f t="shared" si="33"/>
        <v>118.08673649122878</v>
      </c>
      <c r="T62" s="1">
        <f t="shared" si="34"/>
        <v>-11.03863227362249</v>
      </c>
      <c r="U62">
        <v>105</v>
      </c>
      <c r="V62" s="1">
        <f>V$41+VLOOKUP(Lanes!W25,Data,7,FALSE)*(U25/180)</f>
        <v>372.99248138586177</v>
      </c>
      <c r="W62">
        <f t="shared" si="22"/>
        <v>5</v>
      </c>
      <c r="X62" s="1">
        <f t="shared" si="35"/>
        <v>119.26516599930143</v>
      </c>
      <c r="Y62" s="1">
        <f t="shared" si="36"/>
        <v>-11.354391508647565</v>
      </c>
      <c r="Z62">
        <v>105</v>
      </c>
      <c r="AA62" s="1">
        <f>AA$41+VLOOKUP(Lanes!AB25,Data,7,FALSE)*(Z25/180)</f>
        <v>379.06099119504609</v>
      </c>
      <c r="AB62">
        <f t="shared" si="23"/>
        <v>6</v>
      </c>
      <c r="AC62" s="1">
        <f t="shared" si="37"/>
        <v>120.44359550737408</v>
      </c>
      <c r="AD62" s="1">
        <f t="shared" si="38"/>
        <v>-11.670150743672639</v>
      </c>
      <c r="AE62">
        <v>105</v>
      </c>
      <c r="AF62" s="1">
        <f>AF$41+VLOOKUP(Lanes!AG25,Data,7,FALSE)*(AE25/180)</f>
        <v>385.12950100423035</v>
      </c>
      <c r="AG62">
        <f t="shared" si="24"/>
        <v>7</v>
      </c>
      <c r="AH62" s="1">
        <f t="shared" si="39"/>
        <v>121.62202501544675</v>
      </c>
      <c r="AI62" s="1">
        <f t="shared" si="40"/>
        <v>-11.985909978697714</v>
      </c>
      <c r="AJ62">
        <v>105</v>
      </c>
      <c r="AK62" s="1">
        <f>AK$41+VLOOKUP(Lanes!AL25,Data,7,FALSE)*(AJ25/180)</f>
        <v>391.19801081341461</v>
      </c>
      <c r="AL62">
        <f t="shared" si="25"/>
        <v>8</v>
      </c>
      <c r="AM62" s="1">
        <f t="shared" si="41"/>
        <v>122.80045452351942</v>
      </c>
      <c r="AN62" s="1">
        <f t="shared" si="42"/>
        <v>-12.301669213722787</v>
      </c>
      <c r="AO62">
        <v>105</v>
      </c>
      <c r="AP62" s="1">
        <f>AP$41+VLOOKUP(Lanes!AQ25,Data,7,FALSE)*(AO25/180)</f>
        <v>397.26652062259888</v>
      </c>
      <c r="AQ62">
        <f t="shared" si="26"/>
        <v>9</v>
      </c>
      <c r="AR62" s="1">
        <f t="shared" si="43"/>
        <v>123.97888403159209</v>
      </c>
      <c r="AS62" s="1">
        <f t="shared" si="44"/>
        <v>-12.617428448747862</v>
      </c>
    </row>
    <row r="63" spans="1:45" x14ac:dyDescent="0.2">
      <c r="A63">
        <v>110</v>
      </c>
      <c r="B63" s="1">
        <f>B$41+VLOOKUP(Lanes!C26,Data,7,FALSE)*(A26/180)</f>
        <v>352.13841481840757</v>
      </c>
      <c r="C63">
        <f t="shared" si="18"/>
        <v>1</v>
      </c>
      <c r="D63" s="1">
        <f t="shared" si="27"/>
        <v>113.52861528444257</v>
      </c>
      <c r="E63" s="1">
        <f t="shared" si="28"/>
        <v>-13.335365388267835</v>
      </c>
      <c r="F63">
        <v>110</v>
      </c>
      <c r="G63" s="1">
        <f>G$41+VLOOKUP(Lanes!H26,Data,7,FALSE)*(F26/180)</f>
        <v>358.31338971196351</v>
      </c>
      <c r="H63">
        <f t="shared" si="19"/>
        <v>2</v>
      </c>
      <c r="I63" s="1">
        <f t="shared" si="29"/>
        <v>114.67504028180136</v>
      </c>
      <c r="J63" s="1">
        <f t="shared" si="30"/>
        <v>-13.752629963125184</v>
      </c>
      <c r="K63">
        <v>110</v>
      </c>
      <c r="L63" s="1">
        <f>L$41+VLOOKUP(Lanes!M26,Data,7,FALSE)*(K26/180)</f>
        <v>364.48836460551945</v>
      </c>
      <c r="M63">
        <f t="shared" si="20"/>
        <v>3</v>
      </c>
      <c r="N63" s="1">
        <f t="shared" si="31"/>
        <v>115.82146527916017</v>
      </c>
      <c r="O63" s="1">
        <f t="shared" si="32"/>
        <v>-14.169894537982501</v>
      </c>
      <c r="P63">
        <v>110</v>
      </c>
      <c r="Q63" s="1">
        <f>Q$41+VLOOKUP(Lanes!R26,Data,7,FALSE)*(P26/180)</f>
        <v>370.66333949907539</v>
      </c>
      <c r="R63">
        <f t="shared" si="21"/>
        <v>4</v>
      </c>
      <c r="S63" s="1">
        <f t="shared" si="33"/>
        <v>116.96789027651897</v>
      </c>
      <c r="T63" s="1">
        <f t="shared" si="34"/>
        <v>-14.587159112839817</v>
      </c>
      <c r="U63">
        <v>110</v>
      </c>
      <c r="V63" s="1">
        <f>V$41+VLOOKUP(Lanes!W26,Data,7,FALSE)*(U26/180)</f>
        <v>376.83831439263128</v>
      </c>
      <c r="W63">
        <f t="shared" si="22"/>
        <v>5</v>
      </c>
      <c r="X63" s="1">
        <f t="shared" si="35"/>
        <v>118.11431527387779</v>
      </c>
      <c r="Y63" s="1">
        <f t="shared" si="36"/>
        <v>-15.004423687697098</v>
      </c>
      <c r="Z63">
        <v>110</v>
      </c>
      <c r="AA63" s="1">
        <f>AA$41+VLOOKUP(Lanes!AB26,Data,7,FALSE)*(Z26/180)</f>
        <v>383.01328928618722</v>
      </c>
      <c r="AB63">
        <f t="shared" si="23"/>
        <v>6</v>
      </c>
      <c r="AC63" s="1">
        <f t="shared" si="37"/>
        <v>119.2607402712366</v>
      </c>
      <c r="AD63" s="1">
        <f t="shared" si="38"/>
        <v>-15.421688262554413</v>
      </c>
      <c r="AE63">
        <v>110</v>
      </c>
      <c r="AF63" s="1">
        <f>AF$41+VLOOKUP(Lanes!AG26,Data,7,FALSE)*(AE26/180)</f>
        <v>389.18826417974316</v>
      </c>
      <c r="AG63">
        <f t="shared" si="24"/>
        <v>7</v>
      </c>
      <c r="AH63" s="1">
        <f t="shared" si="39"/>
        <v>120.40716526859541</v>
      </c>
      <c r="AI63" s="1">
        <f t="shared" si="40"/>
        <v>-15.83895283741173</v>
      </c>
      <c r="AJ63">
        <v>110</v>
      </c>
      <c r="AK63" s="1">
        <f>AK$41+VLOOKUP(Lanes!AL26,Data,7,FALSE)*(AJ26/180)</f>
        <v>395.3632390732991</v>
      </c>
      <c r="AL63">
        <f t="shared" si="25"/>
        <v>8</v>
      </c>
      <c r="AM63" s="1">
        <f t="shared" si="41"/>
        <v>121.55359026595423</v>
      </c>
      <c r="AN63" s="1">
        <f t="shared" si="42"/>
        <v>-16.256217412269045</v>
      </c>
      <c r="AO63">
        <v>110</v>
      </c>
      <c r="AP63" s="1">
        <f>AP$41+VLOOKUP(Lanes!AQ26,Data,7,FALSE)*(AO26/180)</f>
        <v>401.53821396685504</v>
      </c>
      <c r="AQ63">
        <f t="shared" si="26"/>
        <v>9</v>
      </c>
      <c r="AR63" s="1">
        <f t="shared" si="43"/>
        <v>122.70001526331302</v>
      </c>
      <c r="AS63" s="1">
        <f t="shared" si="44"/>
        <v>-16.673481987126362</v>
      </c>
    </row>
    <row r="64" spans="1:45" x14ac:dyDescent="0.2">
      <c r="A64">
        <v>115</v>
      </c>
      <c r="B64" s="1">
        <f>B$41+VLOOKUP(Lanes!C27,Data,7,FALSE)*(A27/180)</f>
        <v>355.55838748769042</v>
      </c>
      <c r="C64">
        <f t="shared" si="18"/>
        <v>1</v>
      </c>
      <c r="D64" s="1">
        <f t="shared" si="27"/>
        <v>112.22694061655898</v>
      </c>
      <c r="E64" s="1">
        <f t="shared" si="28"/>
        <v>-16.477886025269878</v>
      </c>
      <c r="F64">
        <v>115</v>
      </c>
      <c r="G64" s="1">
        <f>G$41+VLOOKUP(Lanes!H27,Data,7,FALSE)*(F27/180)</f>
        <v>361.83982746561799</v>
      </c>
      <c r="H64">
        <f t="shared" si="19"/>
        <v>2</v>
      </c>
      <c r="I64" s="1">
        <f t="shared" si="29"/>
        <v>113.33263611674371</v>
      </c>
      <c r="J64" s="1">
        <f t="shared" si="30"/>
        <v>-16.993480304593501</v>
      </c>
      <c r="K64">
        <v>115</v>
      </c>
      <c r="L64" s="1">
        <f>L$41+VLOOKUP(Lanes!M27,Data,7,FALSE)*(K27/180)</f>
        <v>368.12126744354561</v>
      </c>
      <c r="M64">
        <f t="shared" si="20"/>
        <v>3</v>
      </c>
      <c r="N64" s="1">
        <f t="shared" si="31"/>
        <v>114.43833161692839</v>
      </c>
      <c r="O64" s="1">
        <f t="shared" si="32"/>
        <v>-17.509074583917183</v>
      </c>
      <c r="P64">
        <v>115</v>
      </c>
      <c r="Q64" s="1">
        <f>Q$41+VLOOKUP(Lanes!R27,Data,7,FALSE)*(P27/180)</f>
        <v>374.40270742147322</v>
      </c>
      <c r="R64">
        <f t="shared" si="21"/>
        <v>4</v>
      </c>
      <c r="S64" s="1">
        <f t="shared" si="33"/>
        <v>115.54402711711312</v>
      </c>
      <c r="T64" s="1">
        <f t="shared" si="34"/>
        <v>-18.024668863240837</v>
      </c>
      <c r="U64">
        <v>115</v>
      </c>
      <c r="V64" s="1">
        <f>V$41+VLOOKUP(Lanes!W27,Data,7,FALSE)*(U27/180)</f>
        <v>380.68414739940079</v>
      </c>
      <c r="W64">
        <f t="shared" si="22"/>
        <v>5</v>
      </c>
      <c r="X64" s="1">
        <f t="shared" si="35"/>
        <v>116.64972261729783</v>
      </c>
      <c r="Y64" s="1">
        <f t="shared" si="36"/>
        <v>-18.540263142564491</v>
      </c>
      <c r="Z64">
        <v>115</v>
      </c>
      <c r="AA64" s="1">
        <f>AA$41+VLOOKUP(Lanes!AB27,Data,7,FALSE)*(Z27/180)</f>
        <v>386.96558737732835</v>
      </c>
      <c r="AB64">
        <f t="shared" si="23"/>
        <v>6</v>
      </c>
      <c r="AC64" s="1">
        <f t="shared" si="37"/>
        <v>117.75541811748253</v>
      </c>
      <c r="AD64" s="1">
        <f t="shared" si="38"/>
        <v>-19.055857421888145</v>
      </c>
      <c r="AE64">
        <v>115</v>
      </c>
      <c r="AF64" s="1">
        <f>AF$41+VLOOKUP(Lanes!AG27,Data,7,FALSE)*(AE27/180)</f>
        <v>393.24702735525597</v>
      </c>
      <c r="AG64">
        <f t="shared" si="24"/>
        <v>7</v>
      </c>
      <c r="AH64" s="1">
        <f t="shared" si="39"/>
        <v>118.86111361766726</v>
      </c>
      <c r="AI64" s="1">
        <f t="shared" si="40"/>
        <v>-19.571451701211796</v>
      </c>
      <c r="AJ64">
        <v>115</v>
      </c>
      <c r="AK64" s="1">
        <f>AK$41+VLOOKUP(Lanes!AL27,Data,7,FALSE)*(AJ27/180)</f>
        <v>399.52846733318353</v>
      </c>
      <c r="AL64">
        <f t="shared" si="25"/>
        <v>8</v>
      </c>
      <c r="AM64" s="1">
        <f t="shared" si="41"/>
        <v>119.96680911785197</v>
      </c>
      <c r="AN64" s="1">
        <f t="shared" si="42"/>
        <v>-20.08704598053545</v>
      </c>
      <c r="AO64">
        <v>115</v>
      </c>
      <c r="AP64" s="1">
        <f>AP$41+VLOOKUP(Lanes!AQ27,Data,7,FALSE)*(AO27/180)</f>
        <v>405.80990731111115</v>
      </c>
      <c r="AQ64">
        <f t="shared" si="26"/>
        <v>9</v>
      </c>
      <c r="AR64" s="1">
        <f t="shared" si="43"/>
        <v>121.07250461803667</v>
      </c>
      <c r="AS64" s="1">
        <f t="shared" si="44"/>
        <v>-20.602640259859104</v>
      </c>
    </row>
    <row r="65" spans="1:45" x14ac:dyDescent="0.2">
      <c r="A65">
        <v>120</v>
      </c>
      <c r="B65" s="1">
        <f>B$41+VLOOKUP(Lanes!C28,Data,7,FALSE)*(A28/180)</f>
        <v>358.97836015697334</v>
      </c>
      <c r="C65">
        <f t="shared" si="18"/>
        <v>1</v>
      </c>
      <c r="D65" s="1">
        <f t="shared" si="27"/>
        <v>110.65633049355526</v>
      </c>
      <c r="E65" s="1">
        <f t="shared" si="28"/>
        <v>-19.495000000000005</v>
      </c>
      <c r="F65">
        <v>120</v>
      </c>
      <c r="G65" s="1">
        <f>G$41+VLOOKUP(Lanes!H28,Data,7,FALSE)*(F28/180)</f>
        <v>365.36626521927258</v>
      </c>
      <c r="H65">
        <f t="shared" si="19"/>
        <v>2</v>
      </c>
      <c r="I65" s="1">
        <f t="shared" si="29"/>
        <v>111.71288148617228</v>
      </c>
      <c r="J65" s="1">
        <f t="shared" si="30"/>
        <v>-20.105000000000004</v>
      </c>
      <c r="K65">
        <v>120</v>
      </c>
      <c r="L65" s="1">
        <f>L$41+VLOOKUP(Lanes!M28,Data,7,FALSE)*(K28/180)</f>
        <v>371.75417028157182</v>
      </c>
      <c r="M65">
        <f t="shared" si="20"/>
        <v>3</v>
      </c>
      <c r="N65" s="1">
        <f t="shared" si="31"/>
        <v>112.7694324787893</v>
      </c>
      <c r="O65" s="1">
        <f t="shared" si="32"/>
        <v>-20.715000000000003</v>
      </c>
      <c r="P65">
        <v>120</v>
      </c>
      <c r="Q65" s="1">
        <f>Q$41+VLOOKUP(Lanes!R28,Data,7,FALSE)*(P28/180)</f>
        <v>378.14207534387106</v>
      </c>
      <c r="R65">
        <f t="shared" si="21"/>
        <v>4</v>
      </c>
      <c r="S65" s="1">
        <f t="shared" si="33"/>
        <v>113.8259834714063</v>
      </c>
      <c r="T65" s="1">
        <f t="shared" si="34"/>
        <v>-21.325000000000003</v>
      </c>
      <c r="U65">
        <v>120</v>
      </c>
      <c r="V65" s="1">
        <f>V$41+VLOOKUP(Lanes!W28,Data,7,FALSE)*(U28/180)</f>
        <v>384.5299804061703</v>
      </c>
      <c r="W65">
        <f t="shared" si="22"/>
        <v>5</v>
      </c>
      <c r="X65" s="1">
        <f t="shared" si="35"/>
        <v>114.88253446402332</v>
      </c>
      <c r="Y65" s="1">
        <f t="shared" si="36"/>
        <v>-21.935000000000002</v>
      </c>
      <c r="Z65">
        <v>120</v>
      </c>
      <c r="AA65" s="1">
        <f>AA$41+VLOOKUP(Lanes!AB28,Data,7,FALSE)*(Z28/180)</f>
        <v>390.91788546846954</v>
      </c>
      <c r="AB65">
        <f t="shared" si="23"/>
        <v>6</v>
      </c>
      <c r="AC65" s="1">
        <f t="shared" si="37"/>
        <v>115.93908545664033</v>
      </c>
      <c r="AD65" s="1">
        <f t="shared" si="38"/>
        <v>-22.545000000000002</v>
      </c>
      <c r="AE65">
        <v>120</v>
      </c>
      <c r="AF65" s="1">
        <f>AF$41+VLOOKUP(Lanes!AG28,Data,7,FALSE)*(AE28/180)</f>
        <v>397.30579053076877</v>
      </c>
      <c r="AG65">
        <f t="shared" si="24"/>
        <v>7</v>
      </c>
      <c r="AH65" s="1">
        <f t="shared" si="39"/>
        <v>116.99563644925735</v>
      </c>
      <c r="AI65" s="1">
        <f t="shared" si="40"/>
        <v>-23.155000000000001</v>
      </c>
      <c r="AJ65">
        <v>120</v>
      </c>
      <c r="AK65" s="1">
        <f>AK$41+VLOOKUP(Lanes!AL28,Data,7,FALSE)*(AJ28/180)</f>
        <v>403.69369559306801</v>
      </c>
      <c r="AL65">
        <f t="shared" si="25"/>
        <v>8</v>
      </c>
      <c r="AM65" s="1">
        <f t="shared" si="41"/>
        <v>118.05218744187437</v>
      </c>
      <c r="AN65" s="1">
        <f t="shared" si="42"/>
        <v>-23.765000000000001</v>
      </c>
      <c r="AO65">
        <v>120</v>
      </c>
      <c r="AP65" s="1">
        <f>AP$41+VLOOKUP(Lanes!AQ28,Data,7,FALSE)*(AO28/180)</f>
        <v>410.08160065536725</v>
      </c>
      <c r="AQ65">
        <f t="shared" si="26"/>
        <v>9</v>
      </c>
      <c r="AR65" s="1">
        <f t="shared" si="43"/>
        <v>119.10873843449139</v>
      </c>
      <c r="AS65" s="1">
        <f t="shared" si="44"/>
        <v>-24.375000000000004</v>
      </c>
    </row>
    <row r="66" spans="1:45" x14ac:dyDescent="0.2">
      <c r="A66">
        <v>125</v>
      </c>
      <c r="B66" s="1">
        <f>B$41+VLOOKUP(Lanes!C29,Data,7,FALSE)*(A29/180)</f>
        <v>362.39833282625619</v>
      </c>
      <c r="C66">
        <f t="shared" si="18"/>
        <v>1</v>
      </c>
      <c r="D66" s="1">
        <f t="shared" si="27"/>
        <v>108.82873820682779</v>
      </c>
      <c r="E66" s="1">
        <f t="shared" si="28"/>
        <v>-22.363745253327288</v>
      </c>
      <c r="F66">
        <v>125</v>
      </c>
      <c r="G66" s="1">
        <f>G$41+VLOOKUP(Lanes!H29,Data,7,FALSE)*(F29/180)</f>
        <v>368.89270297292711</v>
      </c>
      <c r="H66">
        <f t="shared" si="19"/>
        <v>2</v>
      </c>
      <c r="I66" s="1">
        <f t="shared" si="29"/>
        <v>109.82810370086037</v>
      </c>
      <c r="J66" s="1">
        <f t="shared" si="30"/>
        <v>-23.063508505675561</v>
      </c>
      <c r="K66">
        <v>125</v>
      </c>
      <c r="L66" s="1">
        <f>L$41+VLOOKUP(Lanes!M29,Data,7,FALSE)*(K29/180)</f>
        <v>375.38707311959803</v>
      </c>
      <c r="M66">
        <f t="shared" si="20"/>
        <v>3</v>
      </c>
      <c r="N66" s="1">
        <f t="shared" si="31"/>
        <v>110.82746919489293</v>
      </c>
      <c r="O66" s="1">
        <f t="shared" si="32"/>
        <v>-23.763271758023837</v>
      </c>
      <c r="P66">
        <v>125</v>
      </c>
      <c r="Q66" s="1">
        <f>Q$41+VLOOKUP(Lanes!R29,Data,7,FALSE)*(P29/180)</f>
        <v>381.88144326626889</v>
      </c>
      <c r="R66">
        <f t="shared" si="21"/>
        <v>4</v>
      </c>
      <c r="S66" s="1">
        <f t="shared" si="33"/>
        <v>111.8268346889255</v>
      </c>
      <c r="T66" s="1">
        <f t="shared" si="34"/>
        <v>-24.463035010372113</v>
      </c>
      <c r="U66">
        <v>125</v>
      </c>
      <c r="V66" s="1">
        <f>V$41+VLOOKUP(Lanes!W29,Data,7,FALSE)*(U29/180)</f>
        <v>388.37581341293981</v>
      </c>
      <c r="W66">
        <f t="shared" si="22"/>
        <v>5</v>
      </c>
      <c r="X66" s="1">
        <f t="shared" si="35"/>
        <v>112.82620018295808</v>
      </c>
      <c r="Y66" s="1">
        <f t="shared" si="36"/>
        <v>-25.16279826272039</v>
      </c>
      <c r="Z66">
        <v>125</v>
      </c>
      <c r="AA66" s="1">
        <f>AA$41+VLOOKUP(Lanes!AB29,Data,7,FALSE)*(Z29/180)</f>
        <v>394.87018355961072</v>
      </c>
      <c r="AB66">
        <f t="shared" si="23"/>
        <v>6</v>
      </c>
      <c r="AC66" s="1">
        <f t="shared" si="37"/>
        <v>113.82556567699064</v>
      </c>
      <c r="AD66" s="1">
        <f t="shared" si="38"/>
        <v>-25.862561515068663</v>
      </c>
      <c r="AE66">
        <v>125</v>
      </c>
      <c r="AF66" s="1">
        <f>AF$41+VLOOKUP(Lanes!AG29,Data,7,FALSE)*(AE29/180)</f>
        <v>401.36455370628158</v>
      </c>
      <c r="AG66">
        <f t="shared" si="24"/>
        <v>7</v>
      </c>
      <c r="AH66" s="1">
        <f t="shared" si="39"/>
        <v>114.82493117102321</v>
      </c>
      <c r="AI66" s="1">
        <f t="shared" si="40"/>
        <v>-26.562324767416939</v>
      </c>
      <c r="AJ66">
        <v>125</v>
      </c>
      <c r="AK66" s="1">
        <f>AK$41+VLOOKUP(Lanes!AL29,Data,7,FALSE)*(AJ29/180)</f>
        <v>407.85892385295244</v>
      </c>
      <c r="AL66">
        <f t="shared" si="25"/>
        <v>8</v>
      </c>
      <c r="AM66" s="1">
        <f t="shared" si="41"/>
        <v>115.82429666505581</v>
      </c>
      <c r="AN66" s="1">
        <f t="shared" si="42"/>
        <v>-27.262088019765184</v>
      </c>
      <c r="AO66">
        <v>125</v>
      </c>
      <c r="AP66" s="1">
        <f>AP$41+VLOOKUP(Lanes!AQ29,Data,7,FALSE)*(AO29/180)</f>
        <v>414.35329399962336</v>
      </c>
      <c r="AQ66">
        <f t="shared" si="26"/>
        <v>9</v>
      </c>
      <c r="AR66" s="1">
        <f t="shared" si="43"/>
        <v>116.82366215908834</v>
      </c>
      <c r="AS66" s="1">
        <f t="shared" si="44"/>
        <v>-27.961851272113492</v>
      </c>
    </row>
    <row r="67" spans="1:45" x14ac:dyDescent="0.2">
      <c r="A67">
        <v>130</v>
      </c>
      <c r="B67" s="1">
        <f>B$41+VLOOKUP(Lanes!C30,Data,7,FALSE)*(A30/180)</f>
        <v>365.81830549553911</v>
      </c>
      <c r="C67">
        <f t="shared" si="18"/>
        <v>1</v>
      </c>
      <c r="D67" s="1">
        <f t="shared" ref="D67:D77" si="45">(Straight-(IF(B67&gt;VLOOKUP(C67,Data,4,FALSE),1,B67/VLOOKUP(C67,Data,4,FALSE)))*Straight+(IF(B67&gt;VLOOKUP(C67,Data,9,FALSE),1,IF(B67&gt;VLOOKUP(C67,Data,8,FALSE),(B67-VLOOKUP(C67,Data,8,FALSE))/VLOOKUP(C67,Data,6,FALSE),0)))*Straight)-VLOOKUP(C67,Data,2,FALSE)*SIN(RADIANS(180*(IF(B67&gt;VLOOKUP(C67,Data,8,FALSE),1,IF(B67&gt;VLOOKUP(C67,Data,4,FALSE),(B67-VLOOKUP(C67,Data,4,FALSE))/VLOOKUP(C67,Data,5,FALSE),0)))+180*(IF(B67&gt;VLOOKUP(C67,Data,10,FALSE),1,IF(B67&gt;VLOOKUP(C67,Data,9,FALSE),(B67-VLOOKUP(C67,Data,9,FALSE))/VLOOKUP(C67,Data,7,FALSE),0)))))</f>
        <v>106.75807283720896</v>
      </c>
      <c r="E67" s="1">
        <f t="shared" ref="E67:E77" si="46">-VLOOKUP(C67,Data,2,FALSE)*COS(RADIANS(180*(IF(B67&gt;VLOOKUP(C67,Data,8,FALSE),1,IF(B67&gt;VLOOKUP(C67,Data,4,FALSE),(B67-VLOOKUP(C67,Data,4,FALSE))/VLOOKUP(C67,Data,5,FALSE),0)))+180*(IF(B67&gt;VLOOKUP(C67,Data,10,FALSE),1,IF(B67&gt;VLOOKUP(C67,Data,9,FALSE),(B67-VLOOKUP(C67,Data,9,FALSE))/VLOOKUP(C67,Data,7,FALSE),0)))))</f>
        <v>-25.062288901678166</v>
      </c>
      <c r="F67">
        <v>130</v>
      </c>
      <c r="G67" s="1">
        <f>G$41+VLOOKUP(Lanes!H30,Data,7,FALSE)*(F30/180)</f>
        <v>372.41914072658165</v>
      </c>
      <c r="H67">
        <f t="shared" si="19"/>
        <v>2</v>
      </c>
      <c r="I67" s="1">
        <f t="shared" ref="I67:I77" si="47">(Straight-(IF(G67&gt;VLOOKUP(H67,Data,4,FALSE),1,G67/VLOOKUP(H67,Data,4,FALSE)))*Straight+(IF(G67&gt;VLOOKUP(H67,Data,9,FALSE),1,IF(G67&gt;VLOOKUP(H67,Data,8,FALSE),(G67-VLOOKUP(H67,Data,8,FALSE))/VLOOKUP(H67,Data,6,FALSE),0)))*Straight)-VLOOKUP(H67,Data,2,FALSE)*SIN(RADIANS(180*(IF(G67&gt;VLOOKUP(H67,Data,8,FALSE),1,IF(G67&gt;VLOOKUP(H67,Data,4,FALSE),(G67-VLOOKUP(H67,Data,4,FALSE))/VLOOKUP(H67,Data,5,FALSE),0)))+180*(IF(G67&gt;VLOOKUP(H67,Data,10,FALSE),1,IF(G67&gt;VLOOKUP(H67,Data,9,FALSE),(G67-VLOOKUP(H67,Data,9,FALSE))/VLOOKUP(H67,Data,7,FALSE),0)))))</f>
        <v>107.69264705781411</v>
      </c>
      <c r="J67" s="1">
        <f t="shared" ref="J67:J77" si="48">-VLOOKUP(H67,Data,2,FALSE)*COS(RADIANS(180*(IF(G67&gt;VLOOKUP(H67,Data,8,FALSE),1,IF(G67&gt;VLOOKUP(H67,Data,4,FALSE),(G67-VLOOKUP(H67,Data,4,FALSE))/VLOOKUP(H67,Data,5,FALSE),0)))+180*(IF(G67&gt;VLOOKUP(H67,Data,10,FALSE),1,IF(G67&gt;VLOOKUP(H67,Data,9,FALSE),(G67-VLOOKUP(H67,Data,9,FALSE))/VLOOKUP(H67,Data,7,FALSE),0)))))</f>
        <v>-25.846489785495745</v>
      </c>
      <c r="K67">
        <v>130</v>
      </c>
      <c r="L67" s="1">
        <f>L$41+VLOOKUP(Lanes!M30,Data,7,FALSE)*(K30/180)</f>
        <v>379.01997595762418</v>
      </c>
      <c r="M67">
        <f t="shared" si="20"/>
        <v>3</v>
      </c>
      <c r="N67" s="1">
        <f t="shared" ref="N67:N77" si="49">(Straight-(IF(L67&gt;VLOOKUP(M67,Data,4,FALSE),1,L67/VLOOKUP(M67,Data,4,FALSE)))*Straight+(IF(L67&gt;VLOOKUP(M67,Data,9,FALSE),1,IF(L67&gt;VLOOKUP(M67,Data,8,FALSE),(L67-VLOOKUP(M67,Data,8,FALSE))/VLOOKUP(M67,Data,6,FALSE),0)))*Straight)-VLOOKUP(M67,Data,2,FALSE)*SIN(RADIANS(180*(IF(L67&gt;VLOOKUP(M67,Data,8,FALSE),1,IF(L67&gt;VLOOKUP(M67,Data,4,FALSE),(L67-VLOOKUP(M67,Data,4,FALSE))/VLOOKUP(M67,Data,5,FALSE),0)))+180*(IF(L67&gt;VLOOKUP(M67,Data,10,FALSE),1,IF(L67&gt;VLOOKUP(M67,Data,9,FALSE),(L67-VLOOKUP(M67,Data,9,FALSE))/VLOOKUP(M67,Data,7,FALSE),0)))))</f>
        <v>108.62722127841926</v>
      </c>
      <c r="O67" s="1">
        <f t="shared" ref="O67:O77" si="50">-VLOOKUP(M67,Data,2,FALSE)*COS(RADIANS(180*(IF(L67&gt;VLOOKUP(M67,Data,8,FALSE),1,IF(L67&gt;VLOOKUP(M67,Data,4,FALSE),(L67-VLOOKUP(M67,Data,4,FALSE))/VLOOKUP(M67,Data,5,FALSE),0)))+180*(IF(L67&gt;VLOOKUP(M67,Data,10,FALSE),1,IF(L67&gt;VLOOKUP(M67,Data,9,FALSE),(L67-VLOOKUP(M67,Data,9,FALSE))/VLOOKUP(M67,Data,7,FALSE),0)))))</f>
        <v>-26.630690669313321</v>
      </c>
      <c r="P67">
        <v>130</v>
      </c>
      <c r="Q67" s="1">
        <f>Q$41+VLOOKUP(Lanes!R30,Data,7,FALSE)*(P30/180)</f>
        <v>385.62081118866678</v>
      </c>
      <c r="R67">
        <f t="shared" si="21"/>
        <v>4</v>
      </c>
      <c r="S67" s="1">
        <f t="shared" ref="S67:S77" si="51">(Straight-(IF(Q67&gt;VLOOKUP(R67,Data,4,FALSE),1,Q67/VLOOKUP(R67,Data,4,FALSE)))*Straight+(IF(Q67&gt;VLOOKUP(R67,Data,9,FALSE),1,IF(Q67&gt;VLOOKUP(R67,Data,8,FALSE),(Q67-VLOOKUP(R67,Data,8,FALSE))/VLOOKUP(R67,Data,6,FALSE),0)))*Straight)-VLOOKUP(R67,Data,2,FALSE)*SIN(RADIANS(180*(IF(Q67&gt;VLOOKUP(R67,Data,8,FALSE),1,IF(Q67&gt;VLOOKUP(R67,Data,4,FALSE),(Q67-VLOOKUP(R67,Data,4,FALSE))/VLOOKUP(R67,Data,5,FALSE),0)))+180*(IF(Q67&gt;VLOOKUP(R67,Data,10,FALSE),1,IF(Q67&gt;VLOOKUP(R67,Data,9,FALSE),(Q67-VLOOKUP(R67,Data,9,FALSE))/VLOOKUP(R67,Data,7,FALSE),0)))))</f>
        <v>109.56179549902441</v>
      </c>
      <c r="T67" s="1">
        <f t="shared" ref="T67:T77" si="52">-VLOOKUP(R67,Data,2,FALSE)*COS(RADIANS(180*(IF(Q67&gt;VLOOKUP(R67,Data,8,FALSE),1,IF(Q67&gt;VLOOKUP(R67,Data,4,FALSE),(Q67-VLOOKUP(R67,Data,4,FALSE))/VLOOKUP(R67,Data,5,FALSE),0)))+180*(IF(Q67&gt;VLOOKUP(R67,Data,10,FALSE),1,IF(Q67&gt;VLOOKUP(R67,Data,9,FALSE),(Q67-VLOOKUP(R67,Data,9,FALSE))/VLOOKUP(R67,Data,7,FALSE),0)))))</f>
        <v>-27.414891553130897</v>
      </c>
      <c r="U67">
        <v>130</v>
      </c>
      <c r="V67" s="1">
        <f>V$41+VLOOKUP(Lanes!W30,Data,7,FALSE)*(U30/180)</f>
        <v>392.22164641970932</v>
      </c>
      <c r="W67">
        <f t="shared" si="22"/>
        <v>5</v>
      </c>
      <c r="X67" s="1">
        <f t="shared" ref="X67:X77" si="53">(Straight-(IF(V67&gt;VLOOKUP(W67,Data,4,FALSE),1,V67/VLOOKUP(W67,Data,4,FALSE)))*Straight+(IF(V67&gt;VLOOKUP(W67,Data,9,FALSE),1,IF(V67&gt;VLOOKUP(W67,Data,8,FALSE),(V67-VLOOKUP(W67,Data,8,FALSE))/VLOOKUP(W67,Data,6,FALSE),0)))*Straight)-VLOOKUP(W67,Data,2,FALSE)*SIN(RADIANS(180*(IF(V67&gt;VLOOKUP(W67,Data,8,FALSE),1,IF(V67&gt;VLOOKUP(W67,Data,4,FALSE),(V67-VLOOKUP(W67,Data,4,FALSE))/VLOOKUP(W67,Data,5,FALSE),0)))+180*(IF(V67&gt;VLOOKUP(W67,Data,10,FALSE),1,IF(V67&gt;VLOOKUP(W67,Data,9,FALSE),(V67-VLOOKUP(W67,Data,9,FALSE))/VLOOKUP(W67,Data,7,FALSE),0)))))</f>
        <v>110.49636971962957</v>
      </c>
      <c r="Y67" s="1">
        <f t="shared" ref="Y67:Y77" si="54">-VLOOKUP(W67,Data,2,FALSE)*COS(RADIANS(180*(IF(V67&gt;VLOOKUP(W67,Data,8,FALSE),1,IF(V67&gt;VLOOKUP(W67,Data,4,FALSE),(V67-VLOOKUP(W67,Data,4,FALSE))/VLOOKUP(W67,Data,5,FALSE),0)))+180*(IF(V67&gt;VLOOKUP(W67,Data,10,FALSE),1,IF(V67&gt;VLOOKUP(W67,Data,9,FALSE),(V67-VLOOKUP(W67,Data,9,FALSE))/VLOOKUP(W67,Data,7,FALSE),0)))))</f>
        <v>-28.199092436948476</v>
      </c>
      <c r="Z67">
        <v>130</v>
      </c>
      <c r="AA67" s="1">
        <f>AA$41+VLOOKUP(Lanes!AB30,Data,7,FALSE)*(Z30/180)</f>
        <v>398.82248165075185</v>
      </c>
      <c r="AB67">
        <f t="shared" si="23"/>
        <v>6</v>
      </c>
      <c r="AC67" s="1">
        <f t="shared" ref="AC67:AC77" si="55">(Straight-(IF(AA67&gt;VLOOKUP(AB67,Data,4,FALSE),1,AA67/VLOOKUP(AB67,Data,4,FALSE)))*Straight+(IF(AA67&gt;VLOOKUP(AB67,Data,9,FALSE),1,IF(AA67&gt;VLOOKUP(AB67,Data,8,FALSE),(AA67-VLOOKUP(AB67,Data,8,FALSE))/VLOOKUP(AB67,Data,6,FALSE),0)))*Straight)-VLOOKUP(AB67,Data,2,FALSE)*SIN(RADIANS(180*(IF(AA67&gt;VLOOKUP(AB67,Data,8,FALSE),1,IF(AA67&gt;VLOOKUP(AB67,Data,4,FALSE),(AA67-VLOOKUP(AB67,Data,4,FALSE))/VLOOKUP(AB67,Data,5,FALSE),0)))+180*(IF(AA67&gt;VLOOKUP(AB67,Data,10,FALSE),1,IF(AA67&gt;VLOOKUP(AB67,Data,9,FALSE),(AA67-VLOOKUP(AB67,Data,9,FALSE))/VLOOKUP(AB67,Data,7,FALSE),0)))))</f>
        <v>111.43094394023473</v>
      </c>
      <c r="AD67" s="1">
        <f t="shared" ref="AD67:AD77" si="56">-VLOOKUP(AB67,Data,2,FALSE)*COS(RADIANS(180*(IF(AA67&gt;VLOOKUP(AB67,Data,8,FALSE),1,IF(AA67&gt;VLOOKUP(AB67,Data,4,FALSE),(AA67-VLOOKUP(AB67,Data,4,FALSE))/VLOOKUP(AB67,Data,5,FALSE),0)))+180*(IF(AA67&gt;VLOOKUP(AB67,Data,10,FALSE),1,IF(AA67&gt;VLOOKUP(AB67,Data,9,FALSE),(AA67-VLOOKUP(AB67,Data,9,FALSE))/VLOOKUP(AB67,Data,7,FALSE),0)))))</f>
        <v>-28.983293320766052</v>
      </c>
      <c r="AE67">
        <v>130</v>
      </c>
      <c r="AF67" s="1">
        <f>AF$41+VLOOKUP(Lanes!AG30,Data,7,FALSE)*(AE30/180)</f>
        <v>405.42331688179439</v>
      </c>
      <c r="AG67">
        <f t="shared" si="24"/>
        <v>7</v>
      </c>
      <c r="AH67" s="1">
        <f t="shared" ref="AH67:AH77" si="57">(Straight-(IF(AF67&gt;VLOOKUP(AG67,Data,4,FALSE),1,AF67/VLOOKUP(AG67,Data,4,FALSE)))*Straight+(IF(AF67&gt;VLOOKUP(AG67,Data,9,FALSE),1,IF(AF67&gt;VLOOKUP(AG67,Data,8,FALSE),(AF67-VLOOKUP(AG67,Data,8,FALSE))/VLOOKUP(AG67,Data,6,FALSE),0)))*Straight)-VLOOKUP(AG67,Data,2,FALSE)*SIN(RADIANS(180*(IF(AF67&gt;VLOOKUP(AG67,Data,8,FALSE),1,IF(AF67&gt;VLOOKUP(AG67,Data,4,FALSE),(AF67-VLOOKUP(AG67,Data,4,FALSE))/VLOOKUP(AG67,Data,5,FALSE),0)))+180*(IF(AF67&gt;VLOOKUP(AG67,Data,10,FALSE),1,IF(AF67&gt;VLOOKUP(AG67,Data,9,FALSE),(AF67-VLOOKUP(AG67,Data,9,FALSE))/VLOOKUP(AG67,Data,7,FALSE),0)))))</f>
        <v>112.36551816083988</v>
      </c>
      <c r="AI67" s="1">
        <f t="shared" ref="AI67:AI77" si="58">-VLOOKUP(AG67,Data,2,FALSE)*COS(RADIANS(180*(IF(AF67&gt;VLOOKUP(AG67,Data,8,FALSE),1,IF(AF67&gt;VLOOKUP(AG67,Data,4,FALSE),(AF67-VLOOKUP(AG67,Data,4,FALSE))/VLOOKUP(AG67,Data,5,FALSE),0)))+180*(IF(AF67&gt;VLOOKUP(AG67,Data,10,FALSE),1,IF(AF67&gt;VLOOKUP(AG67,Data,9,FALSE),(AF67-VLOOKUP(AG67,Data,9,FALSE))/VLOOKUP(AG67,Data,7,FALSE),0)))))</f>
        <v>-29.767494204583631</v>
      </c>
      <c r="AJ67">
        <v>130</v>
      </c>
      <c r="AK67" s="1">
        <f>AK$41+VLOOKUP(Lanes!AL30,Data,7,FALSE)*(AJ30/180)</f>
        <v>412.02415211283693</v>
      </c>
      <c r="AL67">
        <f t="shared" si="25"/>
        <v>8</v>
      </c>
      <c r="AM67" s="1">
        <f t="shared" ref="AM67:AM77" si="59">(Straight-(IF(AK67&gt;VLOOKUP(AL67,Data,4,FALSE),1,AK67/VLOOKUP(AL67,Data,4,FALSE)))*Straight+(IF(AK67&gt;VLOOKUP(AL67,Data,9,FALSE),1,IF(AK67&gt;VLOOKUP(AL67,Data,8,FALSE),(AK67-VLOOKUP(AL67,Data,8,FALSE))/VLOOKUP(AL67,Data,6,FALSE),0)))*Straight)-VLOOKUP(AL67,Data,2,FALSE)*SIN(RADIANS(180*(IF(AK67&gt;VLOOKUP(AL67,Data,8,FALSE),1,IF(AK67&gt;VLOOKUP(AL67,Data,4,FALSE),(AK67-VLOOKUP(AL67,Data,4,FALSE))/VLOOKUP(AL67,Data,5,FALSE),0)))+180*(IF(AK67&gt;VLOOKUP(AL67,Data,10,FALSE),1,IF(AK67&gt;VLOOKUP(AL67,Data,9,FALSE),(AK67-VLOOKUP(AL67,Data,9,FALSE))/VLOOKUP(AL67,Data,7,FALSE),0)))))</f>
        <v>113.30009238144503</v>
      </c>
      <c r="AN67" s="1">
        <f t="shared" ref="AN67:AN77" si="60">-VLOOKUP(AL67,Data,2,FALSE)*COS(RADIANS(180*(IF(AK67&gt;VLOOKUP(AL67,Data,8,FALSE),1,IF(AK67&gt;VLOOKUP(AL67,Data,4,FALSE),(AK67-VLOOKUP(AL67,Data,4,FALSE))/VLOOKUP(AL67,Data,5,FALSE),0)))+180*(IF(AK67&gt;VLOOKUP(AL67,Data,10,FALSE),1,IF(AK67&gt;VLOOKUP(AL67,Data,9,FALSE),(AK67-VLOOKUP(AL67,Data,9,FALSE))/VLOOKUP(AL67,Data,7,FALSE),0)))))</f>
        <v>-30.551695088401207</v>
      </c>
      <c r="AO67">
        <v>130</v>
      </c>
      <c r="AP67" s="1">
        <f>AP$41+VLOOKUP(Lanes!AQ30,Data,7,FALSE)*(AO30/180)</f>
        <v>418.62498734387952</v>
      </c>
      <c r="AQ67">
        <f t="shared" si="26"/>
        <v>9</v>
      </c>
      <c r="AR67" s="1">
        <f t="shared" ref="AR67:AR77" si="61">(Straight-(IF(AP67&gt;VLOOKUP(AQ67,Data,4,FALSE),1,AP67/VLOOKUP(AQ67,Data,4,FALSE)))*Straight+(IF(AP67&gt;VLOOKUP(AQ67,Data,9,FALSE),1,IF(AP67&gt;VLOOKUP(AQ67,Data,8,FALSE),(AP67-VLOOKUP(AQ67,Data,8,FALSE))/VLOOKUP(AQ67,Data,6,FALSE),0)))*Straight)-VLOOKUP(AQ67,Data,2,FALSE)*SIN(RADIANS(180*(IF(AP67&gt;VLOOKUP(AQ67,Data,8,FALSE),1,IF(AP67&gt;VLOOKUP(AQ67,Data,4,FALSE),(AP67-VLOOKUP(AQ67,Data,4,FALSE))/VLOOKUP(AQ67,Data,5,FALSE),0)))+180*(IF(AP67&gt;VLOOKUP(AQ67,Data,10,FALSE),1,IF(AP67&gt;VLOOKUP(AQ67,Data,9,FALSE),(AP67-VLOOKUP(AQ67,Data,9,FALSE))/VLOOKUP(AQ67,Data,7,FALSE),0)))))</f>
        <v>114.23466660205017</v>
      </c>
      <c r="AS67" s="1">
        <f t="shared" ref="AS67:AS77" si="62">-VLOOKUP(AQ67,Data,2,FALSE)*COS(RADIANS(180*(IF(AP67&gt;VLOOKUP(AQ67,Data,8,FALSE),1,IF(AP67&gt;VLOOKUP(AQ67,Data,4,FALSE),(AP67-VLOOKUP(AQ67,Data,4,FALSE))/VLOOKUP(AQ67,Data,5,FALSE),0)))+180*(IF(AP67&gt;VLOOKUP(AQ67,Data,10,FALSE),1,IF(AP67&gt;VLOOKUP(AQ67,Data,9,FALSE),(AP67-VLOOKUP(AQ67,Data,9,FALSE))/VLOOKUP(AQ67,Data,7,FALSE),0)))))</f>
        <v>-31.335895972218783</v>
      </c>
    </row>
    <row r="68" spans="1:45" x14ac:dyDescent="0.2">
      <c r="A68">
        <v>135</v>
      </c>
      <c r="B68" s="1">
        <f>B$41+VLOOKUP(Lanes!C31,Data,7,FALSE)*(A31/180)</f>
        <v>369.23827816482196</v>
      </c>
      <c r="C68">
        <f t="shared" si="18"/>
        <v>1</v>
      </c>
      <c r="D68" s="1">
        <f t="shared" si="45"/>
        <v>104.4600933984635</v>
      </c>
      <c r="E68" s="1">
        <f t="shared" si="46"/>
        <v>-27.570093398463481</v>
      </c>
      <c r="F68">
        <v>135</v>
      </c>
      <c r="G68" s="1">
        <f>G$41+VLOOKUP(Lanes!H31,Data,7,FALSE)*(F31/180)</f>
        <v>375.94557848023618</v>
      </c>
      <c r="H68">
        <f t="shared" si="19"/>
        <v>2</v>
      </c>
      <c r="I68" s="1">
        <f t="shared" si="47"/>
        <v>105.32276367151108</v>
      </c>
      <c r="J68" s="1">
        <f t="shared" si="48"/>
        <v>-28.432763671511069</v>
      </c>
      <c r="K68">
        <v>135</v>
      </c>
      <c r="L68" s="1">
        <f>L$41+VLOOKUP(Lanes!M31,Data,7,FALSE)*(K31/180)</f>
        <v>382.65287879565039</v>
      </c>
      <c r="M68">
        <f t="shared" si="20"/>
        <v>3</v>
      </c>
      <c r="N68" s="1">
        <f t="shared" si="49"/>
        <v>106.18543394455867</v>
      </c>
      <c r="O68" s="1">
        <f t="shared" si="50"/>
        <v>-29.295433944558656</v>
      </c>
      <c r="P68">
        <v>135</v>
      </c>
      <c r="Q68" s="1">
        <f>Q$41+VLOOKUP(Lanes!R31,Data,7,FALSE)*(P31/180)</f>
        <v>389.36017911106461</v>
      </c>
      <c r="R68">
        <f t="shared" si="21"/>
        <v>4</v>
      </c>
      <c r="S68" s="1">
        <f t="shared" si="51"/>
        <v>107.04810421760627</v>
      </c>
      <c r="T68" s="1">
        <f t="shared" si="52"/>
        <v>-30.158104217606244</v>
      </c>
      <c r="U68">
        <v>135</v>
      </c>
      <c r="V68" s="1">
        <f>V$41+VLOOKUP(Lanes!W31,Data,7,FALSE)*(U31/180)</f>
        <v>396.06747942647883</v>
      </c>
      <c r="W68">
        <f t="shared" si="22"/>
        <v>5</v>
      </c>
      <c r="X68" s="1">
        <f t="shared" si="53"/>
        <v>107.91077449065385</v>
      </c>
      <c r="Y68" s="1">
        <f t="shared" si="54"/>
        <v>-31.020774490653832</v>
      </c>
      <c r="Z68">
        <v>135</v>
      </c>
      <c r="AA68" s="1">
        <f>AA$41+VLOOKUP(Lanes!AB31,Data,7,FALSE)*(Z31/180)</f>
        <v>402.77477974189298</v>
      </c>
      <c r="AB68">
        <f t="shared" si="23"/>
        <v>6</v>
      </c>
      <c r="AC68" s="1">
        <f t="shared" si="55"/>
        <v>108.77344476370143</v>
      </c>
      <c r="AD68" s="1">
        <f t="shared" si="56"/>
        <v>-31.883444763701416</v>
      </c>
      <c r="AE68">
        <v>135</v>
      </c>
      <c r="AF68" s="1">
        <f>AF$41+VLOOKUP(Lanes!AG31,Data,7,FALSE)*(AE31/180)</f>
        <v>409.4820800573072</v>
      </c>
      <c r="AG68">
        <f t="shared" si="24"/>
        <v>7</v>
      </c>
      <c r="AH68" s="1">
        <f t="shared" si="57"/>
        <v>109.63611503674902</v>
      </c>
      <c r="AI68" s="1">
        <f t="shared" si="58"/>
        <v>-32.746115036749003</v>
      </c>
      <c r="AJ68">
        <v>135</v>
      </c>
      <c r="AK68" s="1">
        <f>AK$41+VLOOKUP(Lanes!AL31,Data,7,FALSE)*(AJ31/180)</f>
        <v>416.18938037272142</v>
      </c>
      <c r="AL68">
        <f t="shared" si="25"/>
        <v>8</v>
      </c>
      <c r="AM68" s="1">
        <f t="shared" si="59"/>
        <v>110.4987853097966</v>
      </c>
      <c r="AN68" s="1">
        <f t="shared" si="60"/>
        <v>-33.608785309796595</v>
      </c>
      <c r="AO68">
        <v>135</v>
      </c>
      <c r="AP68" s="1">
        <f>AP$41+VLOOKUP(Lanes!AQ31,Data,7,FALSE)*(AO31/180)</f>
        <v>422.89668068813563</v>
      </c>
      <c r="AQ68">
        <f t="shared" si="26"/>
        <v>9</v>
      </c>
      <c r="AR68" s="1">
        <f t="shared" si="61"/>
        <v>111.3614555828442</v>
      </c>
      <c r="AS68" s="1">
        <f t="shared" si="62"/>
        <v>-34.471455582844179</v>
      </c>
    </row>
    <row r="69" spans="1:45" x14ac:dyDescent="0.2">
      <c r="A69">
        <v>140</v>
      </c>
      <c r="B69" s="1">
        <f>B$41+VLOOKUP(Lanes!C32,Data,7,FALSE)*(A32/180)</f>
        <v>372.65825083410488</v>
      </c>
      <c r="C69">
        <f t="shared" ref="C69:C77" si="63">C68</f>
        <v>1</v>
      </c>
      <c r="D69" s="1">
        <f t="shared" si="45"/>
        <v>101.95228890167817</v>
      </c>
      <c r="E69" s="1">
        <f t="shared" si="46"/>
        <v>-29.868072837208945</v>
      </c>
      <c r="F69">
        <v>140</v>
      </c>
      <c r="G69" s="1">
        <f>G$41+VLOOKUP(Lanes!H32,Data,7,FALSE)*(F32/180)</f>
        <v>379.47201623389071</v>
      </c>
      <c r="H69">
        <f t="shared" ref="H69:H77" si="64">H68</f>
        <v>2</v>
      </c>
      <c r="I69" s="1">
        <f t="shared" si="47"/>
        <v>102.73648978549576</v>
      </c>
      <c r="J69" s="1">
        <f t="shared" si="48"/>
        <v>-30.802647057814099</v>
      </c>
      <c r="K69">
        <v>140</v>
      </c>
      <c r="L69" s="1">
        <f>L$41+VLOOKUP(Lanes!M32,Data,7,FALSE)*(K32/180)</f>
        <v>386.28578163367661</v>
      </c>
      <c r="M69">
        <f t="shared" ref="M69:M77" si="65">M68</f>
        <v>3</v>
      </c>
      <c r="N69" s="1">
        <f t="shared" si="49"/>
        <v>103.52069066931334</v>
      </c>
      <c r="O69" s="1">
        <f t="shared" si="50"/>
        <v>-31.737221278419248</v>
      </c>
      <c r="P69">
        <v>140</v>
      </c>
      <c r="Q69" s="1">
        <f>Q$41+VLOOKUP(Lanes!R32,Data,7,FALSE)*(P32/180)</f>
        <v>393.09954703346244</v>
      </c>
      <c r="R69">
        <f t="shared" ref="R69:R77" si="66">R68</f>
        <v>4</v>
      </c>
      <c r="S69" s="1">
        <f t="shared" si="51"/>
        <v>104.30489155313091</v>
      </c>
      <c r="T69" s="1">
        <f t="shared" si="52"/>
        <v>-32.671795499024398</v>
      </c>
      <c r="U69">
        <v>140</v>
      </c>
      <c r="V69" s="1">
        <f>V$41+VLOOKUP(Lanes!W32,Data,7,FALSE)*(U32/180)</f>
        <v>399.91331243324834</v>
      </c>
      <c r="W69">
        <f t="shared" ref="W69:W77" si="67">W68</f>
        <v>5</v>
      </c>
      <c r="X69" s="1">
        <f t="shared" si="53"/>
        <v>105.08909243694849</v>
      </c>
      <c r="Y69" s="1">
        <f t="shared" si="54"/>
        <v>-33.606369719629555</v>
      </c>
      <c r="Z69">
        <v>140</v>
      </c>
      <c r="AA69" s="1">
        <f>AA$41+VLOOKUP(Lanes!AB32,Data,7,FALSE)*(Z32/180)</f>
        <v>406.72707783303417</v>
      </c>
      <c r="AB69">
        <f t="shared" ref="AB69:AB77" si="68">AB68</f>
        <v>6</v>
      </c>
      <c r="AC69" s="1">
        <f t="shared" si="55"/>
        <v>105.87329332076607</v>
      </c>
      <c r="AD69" s="1">
        <f t="shared" si="56"/>
        <v>-34.540943940234705</v>
      </c>
      <c r="AE69">
        <v>140</v>
      </c>
      <c r="AF69" s="1">
        <f>AF$41+VLOOKUP(Lanes!AG32,Data,7,FALSE)*(AE32/180)</f>
        <v>413.54084323282001</v>
      </c>
      <c r="AG69">
        <f t="shared" ref="AG69:AG77" si="69">AG68</f>
        <v>7</v>
      </c>
      <c r="AH69" s="1">
        <f t="shared" si="57"/>
        <v>106.65749420458364</v>
      </c>
      <c r="AI69" s="1">
        <f t="shared" si="58"/>
        <v>-35.475518160839854</v>
      </c>
      <c r="AJ69">
        <v>140</v>
      </c>
      <c r="AK69" s="1">
        <f>AK$41+VLOOKUP(Lanes!AL32,Data,7,FALSE)*(AJ32/180)</f>
        <v>420.3546086326059</v>
      </c>
      <c r="AL69">
        <f t="shared" ref="AL69:AL77" si="70">AL68</f>
        <v>8</v>
      </c>
      <c r="AM69" s="1">
        <f t="shared" si="59"/>
        <v>107.44169508840122</v>
      </c>
      <c r="AN69" s="1">
        <f t="shared" si="60"/>
        <v>-36.410092381445011</v>
      </c>
      <c r="AO69">
        <v>140</v>
      </c>
      <c r="AP69" s="1">
        <f>AP$41+VLOOKUP(Lanes!AQ32,Data,7,FALSE)*(AO32/180)</f>
        <v>427.16837403239174</v>
      </c>
      <c r="AQ69">
        <f t="shared" ref="AQ69:AQ77" si="71">AQ68</f>
        <v>9</v>
      </c>
      <c r="AR69" s="1">
        <f t="shared" si="61"/>
        <v>108.22589597221881</v>
      </c>
      <c r="AS69" s="1">
        <f t="shared" si="62"/>
        <v>-37.344666602050161</v>
      </c>
    </row>
    <row r="70" spans="1:45" x14ac:dyDescent="0.2">
      <c r="A70">
        <v>145</v>
      </c>
      <c r="B70" s="1">
        <f>B$41+VLOOKUP(Lanes!C33,Data,7,FALSE)*(A33/180)</f>
        <v>376.07822350338779</v>
      </c>
      <c r="C70">
        <f t="shared" si="63"/>
        <v>1</v>
      </c>
      <c r="D70" s="1">
        <f t="shared" si="45"/>
        <v>99.25374525332731</v>
      </c>
      <c r="E70" s="1">
        <f t="shared" si="46"/>
        <v>-31.938738206827782</v>
      </c>
      <c r="F70">
        <v>145</v>
      </c>
      <c r="G70" s="1">
        <f>G$41+VLOOKUP(Lanes!H33,Data,7,FALSE)*(F33/180)</f>
        <v>382.9984539875453</v>
      </c>
      <c r="H70">
        <f t="shared" si="64"/>
        <v>2</v>
      </c>
      <c r="I70" s="1">
        <f t="shared" si="47"/>
        <v>99.953508505675586</v>
      </c>
      <c r="J70" s="1">
        <f t="shared" si="48"/>
        <v>-32.938103700860353</v>
      </c>
      <c r="K70">
        <v>145</v>
      </c>
      <c r="L70" s="1">
        <f>L$41+VLOOKUP(Lanes!M33,Data,7,FALSE)*(K33/180)</f>
        <v>389.91868447170282</v>
      </c>
      <c r="M70">
        <f t="shared" si="65"/>
        <v>3</v>
      </c>
      <c r="N70" s="1">
        <f t="shared" si="49"/>
        <v>100.65327175802386</v>
      </c>
      <c r="O70" s="1">
        <f t="shared" si="50"/>
        <v>-33.93746919489292</v>
      </c>
      <c r="P70">
        <v>145</v>
      </c>
      <c r="Q70" s="1">
        <f>Q$41+VLOOKUP(Lanes!R33,Data,7,FALSE)*(P33/180)</f>
        <v>396.83891495586033</v>
      </c>
      <c r="R70">
        <f t="shared" si="66"/>
        <v>4</v>
      </c>
      <c r="S70" s="1">
        <f t="shared" si="51"/>
        <v>101.35303501037214</v>
      </c>
      <c r="T70" s="1">
        <f t="shared" si="52"/>
        <v>-34.936834688925487</v>
      </c>
      <c r="U70">
        <v>145</v>
      </c>
      <c r="V70" s="1">
        <f>V$41+VLOOKUP(Lanes!W33,Data,7,FALSE)*(U33/180)</f>
        <v>403.75914544001785</v>
      </c>
      <c r="W70">
        <f t="shared" si="67"/>
        <v>5</v>
      </c>
      <c r="X70" s="1">
        <f t="shared" si="53"/>
        <v>102.05279826272042</v>
      </c>
      <c r="Y70" s="1">
        <f t="shared" si="54"/>
        <v>-35.936200182958061</v>
      </c>
      <c r="Z70">
        <v>145</v>
      </c>
      <c r="AA70" s="1">
        <f>AA$41+VLOOKUP(Lanes!AB33,Data,7,FALSE)*(Z33/180)</f>
        <v>410.67937592417536</v>
      </c>
      <c r="AB70">
        <f t="shared" si="68"/>
        <v>6</v>
      </c>
      <c r="AC70" s="1">
        <f t="shared" si="55"/>
        <v>102.75256151506865</v>
      </c>
      <c r="AD70" s="1">
        <f t="shared" si="56"/>
        <v>-36.935565676990649</v>
      </c>
      <c r="AE70">
        <v>145</v>
      </c>
      <c r="AF70" s="1">
        <f>AF$41+VLOOKUP(Lanes!AG33,Data,7,FALSE)*(AE33/180)</f>
        <v>417.59960640833287</v>
      </c>
      <c r="AG70">
        <f t="shared" si="69"/>
        <v>7</v>
      </c>
      <c r="AH70" s="1">
        <f t="shared" si="57"/>
        <v>103.45232476741693</v>
      </c>
      <c r="AI70" s="1">
        <f t="shared" si="58"/>
        <v>-37.934931171023216</v>
      </c>
      <c r="AJ70">
        <v>145</v>
      </c>
      <c r="AK70" s="1">
        <f>AK$41+VLOOKUP(Lanes!AL33,Data,7,FALSE)*(AJ33/180)</f>
        <v>424.51983689249039</v>
      </c>
      <c r="AL70">
        <f t="shared" si="70"/>
        <v>8</v>
      </c>
      <c r="AM70" s="1">
        <f t="shared" si="59"/>
        <v>104.1520880197652</v>
      </c>
      <c r="AN70" s="1">
        <f t="shared" si="60"/>
        <v>-38.934296665055783</v>
      </c>
      <c r="AO70">
        <v>145</v>
      </c>
      <c r="AP70" s="1">
        <f>AP$41+VLOOKUP(Lanes!AQ33,Data,7,FALSE)*(AO33/180)</f>
        <v>431.44006737664785</v>
      </c>
      <c r="AQ70">
        <f t="shared" si="71"/>
        <v>9</v>
      </c>
      <c r="AR70" s="1">
        <f t="shared" si="61"/>
        <v>104.85185127211352</v>
      </c>
      <c r="AS70" s="1">
        <f t="shared" si="62"/>
        <v>-39.933662159088335</v>
      </c>
    </row>
    <row r="71" spans="1:45" x14ac:dyDescent="0.2">
      <c r="A71">
        <v>150</v>
      </c>
      <c r="B71" s="1">
        <f>B$41+VLOOKUP(Lanes!C34,Data,7,FALSE)*(A34/180)</f>
        <v>379.49819617267065</v>
      </c>
      <c r="C71">
        <f t="shared" si="63"/>
        <v>1</v>
      </c>
      <c r="D71" s="1">
        <f t="shared" si="45"/>
        <v>96.385000000000019</v>
      </c>
      <c r="E71" s="1">
        <f t="shared" si="46"/>
        <v>-33.766330493555252</v>
      </c>
      <c r="F71">
        <v>150</v>
      </c>
      <c r="G71" s="1">
        <f>G$41+VLOOKUP(Lanes!H34,Data,7,FALSE)*(F34/180)</f>
        <v>386.52489174119984</v>
      </c>
      <c r="H71">
        <f t="shared" si="64"/>
        <v>2</v>
      </c>
      <c r="I71" s="1">
        <f t="shared" si="47"/>
        <v>96.995000000000019</v>
      </c>
      <c r="J71" s="1">
        <f t="shared" si="48"/>
        <v>-34.822881486172271</v>
      </c>
      <c r="K71">
        <v>150</v>
      </c>
      <c r="L71" s="1">
        <f>L$41+VLOOKUP(Lanes!M34,Data,7,FALSE)*(K34/180)</f>
        <v>393.55158730972903</v>
      </c>
      <c r="M71">
        <f t="shared" si="65"/>
        <v>3</v>
      </c>
      <c r="N71" s="1">
        <f t="shared" si="49"/>
        <v>97.604999999999961</v>
      </c>
      <c r="O71" s="1">
        <f t="shared" si="50"/>
        <v>-35.879432478789319</v>
      </c>
      <c r="P71">
        <v>150</v>
      </c>
      <c r="Q71" s="1">
        <f>Q$41+VLOOKUP(Lanes!R34,Data,7,FALSE)*(P34/180)</f>
        <v>400.57828287825816</v>
      </c>
      <c r="R71">
        <f t="shared" si="66"/>
        <v>4</v>
      </c>
      <c r="S71" s="1">
        <f t="shared" si="51"/>
        <v>98.215000000000018</v>
      </c>
      <c r="T71" s="1">
        <f t="shared" si="52"/>
        <v>-36.935983471406296</v>
      </c>
      <c r="U71">
        <v>150</v>
      </c>
      <c r="V71" s="1">
        <f>V$41+VLOOKUP(Lanes!W34,Data,7,FALSE)*(U34/180)</f>
        <v>407.6049784467873</v>
      </c>
      <c r="W71">
        <f t="shared" si="67"/>
        <v>5</v>
      </c>
      <c r="X71" s="1">
        <f t="shared" si="53"/>
        <v>98.825000000000017</v>
      </c>
      <c r="Y71" s="1">
        <f t="shared" si="54"/>
        <v>-37.992534464023308</v>
      </c>
      <c r="Z71">
        <v>150</v>
      </c>
      <c r="AA71" s="1">
        <f>AA$41+VLOOKUP(Lanes!AB34,Data,7,FALSE)*(Z34/180)</f>
        <v>414.63167401531649</v>
      </c>
      <c r="AB71">
        <f t="shared" si="68"/>
        <v>6</v>
      </c>
      <c r="AC71" s="1">
        <f t="shared" si="55"/>
        <v>99.435000000000016</v>
      </c>
      <c r="AD71" s="1">
        <f t="shared" si="56"/>
        <v>-39.04908545664032</v>
      </c>
      <c r="AE71">
        <v>150</v>
      </c>
      <c r="AF71" s="1">
        <f>AF$41+VLOOKUP(Lanes!AG34,Data,7,FALSE)*(AE34/180)</f>
        <v>421.65836958384568</v>
      </c>
      <c r="AG71">
        <f t="shared" si="69"/>
        <v>7</v>
      </c>
      <c r="AH71" s="1">
        <f t="shared" si="57"/>
        <v>100.04500000000002</v>
      </c>
      <c r="AI71" s="1">
        <f t="shared" si="58"/>
        <v>-40.105636449257339</v>
      </c>
      <c r="AJ71">
        <v>150</v>
      </c>
      <c r="AK71" s="1">
        <f>AK$41+VLOOKUP(Lanes!AL34,Data,7,FALSE)*(AJ34/180)</f>
        <v>428.68506515237482</v>
      </c>
      <c r="AL71">
        <f t="shared" si="70"/>
        <v>8</v>
      </c>
      <c r="AM71" s="1">
        <f t="shared" si="59"/>
        <v>100.65500000000002</v>
      </c>
      <c r="AN71" s="1">
        <f t="shared" si="60"/>
        <v>-41.162187441874352</v>
      </c>
      <c r="AO71">
        <v>150</v>
      </c>
      <c r="AP71" s="1">
        <f>AP$41+VLOOKUP(Lanes!AQ34,Data,7,FALSE)*(AO34/180)</f>
        <v>435.71176072090395</v>
      </c>
      <c r="AQ71">
        <f t="shared" si="71"/>
        <v>9</v>
      </c>
      <c r="AR71" s="1">
        <f t="shared" si="61"/>
        <v>101.26500000000001</v>
      </c>
      <c r="AS71" s="1">
        <f t="shared" si="62"/>
        <v>-42.218738434491364</v>
      </c>
    </row>
    <row r="72" spans="1:45" x14ac:dyDescent="0.2">
      <c r="A72">
        <v>155</v>
      </c>
      <c r="B72" s="1">
        <f>B$41+VLOOKUP(Lanes!C35,Data,7,FALSE)*(A35/180)</f>
        <v>382.91816884195356</v>
      </c>
      <c r="C72">
        <f t="shared" si="63"/>
        <v>1</v>
      </c>
      <c r="D72" s="1">
        <f t="shared" si="45"/>
        <v>93.367886025269868</v>
      </c>
      <c r="E72" s="1">
        <f t="shared" si="46"/>
        <v>-35.336940616558984</v>
      </c>
      <c r="F72">
        <v>155</v>
      </c>
      <c r="G72" s="1">
        <f>G$41+VLOOKUP(Lanes!H35,Data,7,FALSE)*(F35/180)</f>
        <v>390.05132949485437</v>
      </c>
      <c r="H72">
        <f t="shared" si="64"/>
        <v>2</v>
      </c>
      <c r="I72" s="1">
        <f t="shared" si="47"/>
        <v>93.883480304593519</v>
      </c>
      <c r="J72" s="1">
        <f t="shared" si="48"/>
        <v>-36.442636116743699</v>
      </c>
      <c r="K72">
        <v>155</v>
      </c>
      <c r="L72" s="1">
        <f>L$41+VLOOKUP(Lanes!M35,Data,7,FALSE)*(K35/180)</f>
        <v>397.18449014775518</v>
      </c>
      <c r="M72">
        <f t="shared" si="65"/>
        <v>3</v>
      </c>
      <c r="N72" s="1">
        <f t="shared" si="49"/>
        <v>94.399074583917169</v>
      </c>
      <c r="O72" s="1">
        <f t="shared" si="50"/>
        <v>-37.548331616928408</v>
      </c>
      <c r="P72">
        <v>155</v>
      </c>
      <c r="Q72" s="1">
        <f>Q$41+VLOOKUP(Lanes!R35,Data,7,FALSE)*(P35/180)</f>
        <v>404.317650800656</v>
      </c>
      <c r="R72">
        <f t="shared" si="66"/>
        <v>4</v>
      </c>
      <c r="S72" s="1">
        <f t="shared" si="51"/>
        <v>94.91466886324082</v>
      </c>
      <c r="T72" s="1">
        <f t="shared" si="52"/>
        <v>-38.654027117113124</v>
      </c>
      <c r="U72">
        <v>155</v>
      </c>
      <c r="V72" s="1">
        <f>V$41+VLOOKUP(Lanes!W35,Data,7,FALSE)*(U35/180)</f>
        <v>411.45081145355687</v>
      </c>
      <c r="W72">
        <f t="shared" si="67"/>
        <v>5</v>
      </c>
      <c r="X72" s="1">
        <f t="shared" si="53"/>
        <v>95.430263142564442</v>
      </c>
      <c r="Y72" s="1">
        <f t="shared" si="54"/>
        <v>-39.759722617297854</v>
      </c>
      <c r="Z72">
        <v>155</v>
      </c>
      <c r="AA72" s="1">
        <f>AA$41+VLOOKUP(Lanes!AB35,Data,7,FALSE)*(Z35/180)</f>
        <v>418.58397210645762</v>
      </c>
      <c r="AB72">
        <f t="shared" si="68"/>
        <v>6</v>
      </c>
      <c r="AC72" s="1">
        <f t="shared" si="55"/>
        <v>95.945857421888121</v>
      </c>
      <c r="AD72" s="1">
        <f t="shared" si="56"/>
        <v>-40.865418117482548</v>
      </c>
      <c r="AE72">
        <v>155</v>
      </c>
      <c r="AF72" s="1">
        <f>AF$41+VLOOKUP(Lanes!AG35,Data,7,FALSE)*(AE35/180)</f>
        <v>425.71713275935849</v>
      </c>
      <c r="AG72">
        <f t="shared" si="69"/>
        <v>7</v>
      </c>
      <c r="AH72" s="1">
        <f t="shared" si="57"/>
        <v>96.461451701211786</v>
      </c>
      <c r="AI72" s="1">
        <f t="shared" si="58"/>
        <v>-41.971113617667257</v>
      </c>
      <c r="AJ72">
        <v>155</v>
      </c>
      <c r="AK72" s="1">
        <f>AK$41+VLOOKUP(Lanes!AL35,Data,7,FALSE)*(AJ35/180)</f>
        <v>432.8502934122593</v>
      </c>
      <c r="AL72">
        <f t="shared" si="70"/>
        <v>8</v>
      </c>
      <c r="AM72" s="1">
        <f t="shared" si="59"/>
        <v>96.977045980535436</v>
      </c>
      <c r="AN72" s="1">
        <f t="shared" si="60"/>
        <v>-43.076809117851973</v>
      </c>
      <c r="AO72">
        <v>155</v>
      </c>
      <c r="AP72" s="1">
        <f>AP$41+VLOOKUP(Lanes!AQ35,Data,7,FALSE)*(AO35/180)</f>
        <v>439.98345406516012</v>
      </c>
      <c r="AQ72">
        <f t="shared" si="71"/>
        <v>9</v>
      </c>
      <c r="AR72" s="1">
        <f t="shared" si="61"/>
        <v>97.492640259859087</v>
      </c>
      <c r="AS72" s="1">
        <f t="shared" si="62"/>
        <v>-44.182504618036681</v>
      </c>
    </row>
    <row r="73" spans="1:45" x14ac:dyDescent="0.2">
      <c r="A73">
        <v>160</v>
      </c>
      <c r="B73" s="1">
        <f>B$41+VLOOKUP(Lanes!C36,Data,7,FALSE)*(A36/180)</f>
        <v>386.33814151123642</v>
      </c>
      <c r="C73">
        <f t="shared" si="63"/>
        <v>1</v>
      </c>
      <c r="D73" s="1">
        <f t="shared" si="45"/>
        <v>90.225365388267818</v>
      </c>
      <c r="E73" s="1">
        <f t="shared" si="46"/>
        <v>-36.638615284442572</v>
      </c>
      <c r="F73">
        <v>160</v>
      </c>
      <c r="G73" s="1">
        <f>G$41+VLOOKUP(Lanes!H36,Data,7,FALSE)*(F36/180)</f>
        <v>393.57776724850891</v>
      </c>
      <c r="H73">
        <f t="shared" si="64"/>
        <v>2</v>
      </c>
      <c r="I73" s="1">
        <f t="shared" si="47"/>
        <v>90.642629963125131</v>
      </c>
      <c r="J73" s="1">
        <f t="shared" si="48"/>
        <v>-37.785040281801379</v>
      </c>
      <c r="K73">
        <v>160</v>
      </c>
      <c r="L73" s="1">
        <f>L$41+VLOOKUP(Lanes!M36,Data,7,FALSE)*(K36/180)</f>
        <v>400.8173929857814</v>
      </c>
      <c r="M73">
        <f t="shared" si="65"/>
        <v>3</v>
      </c>
      <c r="N73" s="1">
        <f t="shared" si="49"/>
        <v>91.059894537982444</v>
      </c>
      <c r="O73" s="1">
        <f t="shared" si="50"/>
        <v>-38.931465279160186</v>
      </c>
      <c r="P73">
        <v>160</v>
      </c>
      <c r="Q73" s="1">
        <f>Q$41+VLOOKUP(Lanes!R36,Data,7,FALSE)*(P36/180)</f>
        <v>408.05701872305383</v>
      </c>
      <c r="R73">
        <f t="shared" si="66"/>
        <v>4</v>
      </c>
      <c r="S73" s="1">
        <f t="shared" si="51"/>
        <v>91.4771591128398</v>
      </c>
      <c r="T73" s="1">
        <f t="shared" si="52"/>
        <v>-40.077890276518978</v>
      </c>
      <c r="U73">
        <v>160</v>
      </c>
      <c r="V73" s="1">
        <f>V$41+VLOOKUP(Lanes!W36,Data,7,FALSE)*(U36/180)</f>
        <v>415.29664446032632</v>
      </c>
      <c r="W73">
        <f t="shared" si="67"/>
        <v>5</v>
      </c>
      <c r="X73" s="1">
        <f t="shared" si="53"/>
        <v>91.894423687697085</v>
      </c>
      <c r="Y73" s="1">
        <f t="shared" si="54"/>
        <v>-41.224315273877799</v>
      </c>
      <c r="Z73">
        <v>160</v>
      </c>
      <c r="AA73" s="1">
        <f>AA$41+VLOOKUP(Lanes!AB36,Data,7,FALSE)*(Z36/180)</f>
        <v>422.53627019759881</v>
      </c>
      <c r="AB73">
        <f t="shared" si="68"/>
        <v>6</v>
      </c>
      <c r="AC73" s="1">
        <f t="shared" si="55"/>
        <v>92.311688262554398</v>
      </c>
      <c r="AD73" s="1">
        <f t="shared" si="56"/>
        <v>-42.370740271236606</v>
      </c>
      <c r="AE73">
        <v>160</v>
      </c>
      <c r="AF73" s="1">
        <f>AF$41+VLOOKUP(Lanes!AG36,Data,7,FALSE)*(AE36/180)</f>
        <v>429.7758959348713</v>
      </c>
      <c r="AG73">
        <f t="shared" si="69"/>
        <v>7</v>
      </c>
      <c r="AH73" s="1">
        <f t="shared" si="57"/>
        <v>92.728952837411711</v>
      </c>
      <c r="AI73" s="1">
        <f t="shared" si="58"/>
        <v>-43.517165268595413</v>
      </c>
      <c r="AJ73">
        <v>160</v>
      </c>
      <c r="AK73" s="1">
        <f>AK$41+VLOOKUP(Lanes!AL36,Data,7,FALSE)*(AJ36/180)</f>
        <v>437.01552167214373</v>
      </c>
      <c r="AL73">
        <f t="shared" si="70"/>
        <v>8</v>
      </c>
      <c r="AM73" s="1">
        <f t="shared" si="59"/>
        <v>93.146217412269024</v>
      </c>
      <c r="AN73" s="1">
        <f t="shared" si="60"/>
        <v>-44.66359026595422</v>
      </c>
      <c r="AO73">
        <v>160</v>
      </c>
      <c r="AP73" s="1">
        <f>AP$41+VLOOKUP(Lanes!AQ36,Data,7,FALSE)*(AO36/180)</f>
        <v>444.25514740941622</v>
      </c>
      <c r="AQ73">
        <f t="shared" si="71"/>
        <v>9</v>
      </c>
      <c r="AR73" s="1">
        <f t="shared" si="61"/>
        <v>93.563481987126337</v>
      </c>
      <c r="AS73" s="1">
        <f t="shared" si="62"/>
        <v>-45.810015263313026</v>
      </c>
    </row>
    <row r="74" spans="1:45" x14ac:dyDescent="0.2">
      <c r="A74">
        <v>165</v>
      </c>
      <c r="B74" s="1">
        <f>B$41+VLOOKUP(Lanes!C37,Data,7,FALSE)*(A37/180)</f>
        <v>389.75811418051933</v>
      </c>
      <c r="C74">
        <f t="shared" si="63"/>
        <v>1</v>
      </c>
      <c r="D74" s="1">
        <f t="shared" si="45"/>
        <v>86.981354568547289</v>
      </c>
      <c r="E74" s="1">
        <f t="shared" si="46"/>
        <v>-37.661447967010773</v>
      </c>
      <c r="F74">
        <v>165</v>
      </c>
      <c r="G74" s="1">
        <f>G$41+VLOOKUP(Lanes!H37,Data,7,FALSE)*(F37/180)</f>
        <v>397.10420500216344</v>
      </c>
      <c r="H74">
        <f t="shared" si="64"/>
        <v>2</v>
      </c>
      <c r="I74" s="1">
        <f t="shared" si="47"/>
        <v>87.297113803572358</v>
      </c>
      <c r="J74" s="1">
        <f t="shared" si="48"/>
        <v>-38.839877475083441</v>
      </c>
      <c r="K74">
        <v>165</v>
      </c>
      <c r="L74" s="1">
        <f>L$41+VLOOKUP(Lanes!M37,Data,7,FALSE)*(K37/180)</f>
        <v>404.45029582380761</v>
      </c>
      <c r="M74">
        <f t="shared" si="65"/>
        <v>3</v>
      </c>
      <c r="N74" s="1">
        <f t="shared" si="49"/>
        <v>87.612873038597428</v>
      </c>
      <c r="O74" s="1">
        <f t="shared" si="50"/>
        <v>-40.018306983156101</v>
      </c>
      <c r="P74">
        <v>165</v>
      </c>
      <c r="Q74" s="1">
        <f>Q$41+VLOOKUP(Lanes!R37,Data,7,FALSE)*(P37/180)</f>
        <v>411.79638664545172</v>
      </c>
      <c r="R74">
        <f t="shared" si="66"/>
        <v>4</v>
      </c>
      <c r="S74" s="1">
        <f t="shared" si="51"/>
        <v>87.928632273622512</v>
      </c>
      <c r="T74" s="1">
        <f t="shared" si="52"/>
        <v>-41.196736491228762</v>
      </c>
      <c r="U74">
        <v>165</v>
      </c>
      <c r="V74" s="1">
        <f>V$41+VLOOKUP(Lanes!W37,Data,7,FALSE)*(U37/180)</f>
        <v>419.14247746709583</v>
      </c>
      <c r="W74">
        <f t="shared" si="67"/>
        <v>5</v>
      </c>
      <c r="X74" s="1">
        <f t="shared" si="53"/>
        <v>88.244391508647581</v>
      </c>
      <c r="Y74" s="1">
        <f t="shared" si="54"/>
        <v>-42.375165999301423</v>
      </c>
      <c r="Z74">
        <v>165</v>
      </c>
      <c r="AA74" s="1">
        <f>AA$41+VLOOKUP(Lanes!AB37,Data,7,FALSE)*(Z37/180)</f>
        <v>426.48856828874</v>
      </c>
      <c r="AB74">
        <f t="shared" si="68"/>
        <v>6</v>
      </c>
      <c r="AC74" s="1">
        <f t="shared" si="55"/>
        <v>88.560150743672665</v>
      </c>
      <c r="AD74" s="1">
        <f t="shared" si="56"/>
        <v>-43.553595507374084</v>
      </c>
      <c r="AE74">
        <v>165</v>
      </c>
      <c r="AF74" s="1">
        <f>AF$41+VLOOKUP(Lanes!AG37,Data,7,FALSE)*(AE37/180)</f>
        <v>433.83465911038411</v>
      </c>
      <c r="AG74">
        <f t="shared" si="69"/>
        <v>7</v>
      </c>
      <c r="AH74" s="1">
        <f t="shared" si="57"/>
        <v>88.875909978697734</v>
      </c>
      <c r="AI74" s="1">
        <f t="shared" si="58"/>
        <v>-44.732025015446752</v>
      </c>
      <c r="AJ74">
        <v>165</v>
      </c>
      <c r="AK74" s="1">
        <f>AK$41+VLOOKUP(Lanes!AL37,Data,7,FALSE)*(AJ37/180)</f>
        <v>441.18074993202822</v>
      </c>
      <c r="AL74">
        <f t="shared" si="70"/>
        <v>8</v>
      </c>
      <c r="AM74" s="1">
        <f t="shared" si="59"/>
        <v>89.191669213722804</v>
      </c>
      <c r="AN74" s="1">
        <f t="shared" si="60"/>
        <v>-45.910454523519412</v>
      </c>
      <c r="AO74">
        <v>165</v>
      </c>
      <c r="AP74" s="1">
        <f>AP$41+VLOOKUP(Lanes!AQ37,Data,7,FALSE)*(AO37/180)</f>
        <v>448.52684075367233</v>
      </c>
      <c r="AQ74">
        <f t="shared" si="71"/>
        <v>9</v>
      </c>
      <c r="AR74" s="1">
        <f t="shared" si="61"/>
        <v>89.507428448747888</v>
      </c>
      <c r="AS74" s="1">
        <f t="shared" si="62"/>
        <v>-47.088884031592073</v>
      </c>
    </row>
    <row r="75" spans="1:45" x14ac:dyDescent="0.2">
      <c r="A75">
        <v>170</v>
      </c>
      <c r="B75" s="1">
        <f>B$41+VLOOKUP(Lanes!C38,Data,7,FALSE)*(A38/180)</f>
        <v>393.17808684980218</v>
      </c>
      <c r="C75">
        <f t="shared" si="63"/>
        <v>1</v>
      </c>
      <c r="D75" s="1">
        <f t="shared" si="45"/>
        <v>83.660542447233652</v>
      </c>
      <c r="E75" s="1">
        <f t="shared" si="46"/>
        <v>-38.39765428994599</v>
      </c>
      <c r="F75">
        <v>170</v>
      </c>
      <c r="G75" s="1">
        <f>G$41+VLOOKUP(Lanes!H38,Data,7,FALSE)*(F38/180)</f>
        <v>400.63064275581803</v>
      </c>
      <c r="H75">
        <f t="shared" si="64"/>
        <v>2</v>
      </c>
      <c r="I75" s="1">
        <f t="shared" si="47"/>
        <v>83.872393223987231</v>
      </c>
      <c r="J75" s="1">
        <f t="shared" si="48"/>
        <v>-39.599119748620893</v>
      </c>
      <c r="K75">
        <v>170</v>
      </c>
      <c r="L75" s="1">
        <f>L$41+VLOOKUP(Lanes!M38,Data,7,FALSE)*(K38/180)</f>
        <v>408.08319866183376</v>
      </c>
      <c r="M75">
        <f t="shared" si="65"/>
        <v>3</v>
      </c>
      <c r="N75" s="1">
        <f t="shared" si="49"/>
        <v>84.084244000740966</v>
      </c>
      <c r="O75" s="1">
        <f t="shared" si="50"/>
        <v>-40.800585207295775</v>
      </c>
      <c r="P75">
        <v>170</v>
      </c>
      <c r="Q75" s="1">
        <f>Q$41+VLOOKUP(Lanes!R38,Data,7,FALSE)*(P38/180)</f>
        <v>415.53575456784955</v>
      </c>
      <c r="R75">
        <f t="shared" si="66"/>
        <v>4</v>
      </c>
      <c r="S75" s="1">
        <f t="shared" si="51"/>
        <v>84.296094777494588</v>
      </c>
      <c r="T75" s="1">
        <f t="shared" si="52"/>
        <v>-42.002050665970671</v>
      </c>
      <c r="U75">
        <v>170</v>
      </c>
      <c r="V75" s="1">
        <f>V$41+VLOOKUP(Lanes!W38,Data,7,FALSE)*(U38/180)</f>
        <v>422.98831047386534</v>
      </c>
      <c r="W75">
        <f t="shared" si="67"/>
        <v>5</v>
      </c>
      <c r="X75" s="1">
        <f t="shared" si="53"/>
        <v>84.507945554248238</v>
      </c>
      <c r="Y75" s="1">
        <f t="shared" si="54"/>
        <v>-43.20351612464556</v>
      </c>
      <c r="Z75">
        <v>170</v>
      </c>
      <c r="AA75" s="1">
        <f>AA$41+VLOOKUP(Lanes!AB38,Data,7,FALSE)*(Z38/180)</f>
        <v>430.44086637988113</v>
      </c>
      <c r="AB75">
        <f t="shared" si="68"/>
        <v>6</v>
      </c>
      <c r="AC75" s="1">
        <f t="shared" si="55"/>
        <v>84.719796331001888</v>
      </c>
      <c r="AD75" s="1">
        <f t="shared" si="56"/>
        <v>-44.404981583320456</v>
      </c>
      <c r="AE75">
        <v>170</v>
      </c>
      <c r="AF75" s="1">
        <f>AF$41+VLOOKUP(Lanes!AG38,Data,7,FALSE)*(AE38/180)</f>
        <v>437.89342228589692</v>
      </c>
      <c r="AG75">
        <f t="shared" si="69"/>
        <v>7</v>
      </c>
      <c r="AH75" s="1">
        <f t="shared" si="57"/>
        <v>84.931647107755552</v>
      </c>
      <c r="AI75" s="1">
        <f t="shared" si="58"/>
        <v>-45.606447041995345</v>
      </c>
      <c r="AJ75">
        <v>170</v>
      </c>
      <c r="AK75" s="1">
        <f>AK$41+VLOOKUP(Lanes!AL38,Data,7,FALSE)*(AJ38/180)</f>
        <v>445.34597819191265</v>
      </c>
      <c r="AL75">
        <f t="shared" si="70"/>
        <v>8</v>
      </c>
      <c r="AM75" s="1">
        <f t="shared" si="59"/>
        <v>85.143497884509244</v>
      </c>
      <c r="AN75" s="1">
        <f t="shared" si="60"/>
        <v>-46.807912500670234</v>
      </c>
      <c r="AO75">
        <v>170</v>
      </c>
      <c r="AP75" s="1">
        <f>AP$41+VLOOKUP(Lanes!AQ38,Data,7,FALSE)*(AO38/180)</f>
        <v>452.7985340979285</v>
      </c>
      <c r="AQ75">
        <f t="shared" si="71"/>
        <v>9</v>
      </c>
      <c r="AR75" s="1">
        <f t="shared" si="61"/>
        <v>85.355348661262852</v>
      </c>
      <c r="AS75" s="1">
        <f t="shared" si="62"/>
        <v>-48.009377959345137</v>
      </c>
    </row>
    <row r="76" spans="1:45" x14ac:dyDescent="0.2">
      <c r="A76">
        <v>175</v>
      </c>
      <c r="B76" s="1">
        <f>B$41+VLOOKUP(Lanes!C39,Data,7,FALSE)*(A39/180)</f>
        <v>396.5980595190851</v>
      </c>
      <c r="C76">
        <f t="shared" si="63"/>
        <v>1</v>
      </c>
      <c r="D76" s="1">
        <f t="shared" si="45"/>
        <v>80.288202409731198</v>
      </c>
      <c r="E76" s="1">
        <f t="shared" si="46"/>
        <v>-38.841631278597163</v>
      </c>
      <c r="F76">
        <v>175</v>
      </c>
      <c r="G76" s="1">
        <f>G$41+VLOOKUP(Lanes!H39,Data,7,FALSE)*(F39/180)</f>
        <v>404.15708050947251</v>
      </c>
      <c r="H76">
        <f t="shared" si="64"/>
        <v>2</v>
      </c>
      <c r="I76" s="1">
        <f t="shared" si="47"/>
        <v>80.394532415883347</v>
      </c>
      <c r="J76" s="1">
        <f t="shared" si="48"/>
        <v>-40.05698881026909</v>
      </c>
      <c r="K76">
        <v>175</v>
      </c>
      <c r="L76" s="1">
        <f>L$41+VLOOKUP(Lanes!M39,Data,7,FALSE)*(K39/180)</f>
        <v>411.71610149985997</v>
      </c>
      <c r="M76">
        <f t="shared" si="65"/>
        <v>3</v>
      </c>
      <c r="N76" s="1">
        <f t="shared" si="49"/>
        <v>80.500862422035482</v>
      </c>
      <c r="O76" s="1">
        <f t="shared" si="50"/>
        <v>-41.272346341941017</v>
      </c>
      <c r="P76">
        <v>175</v>
      </c>
      <c r="Q76" s="1">
        <f>Q$41+VLOOKUP(Lanes!R39,Data,7,FALSE)*(P39/180)</f>
        <v>419.27512249024744</v>
      </c>
      <c r="R76">
        <f t="shared" si="66"/>
        <v>4</v>
      </c>
      <c r="S76" s="1">
        <f t="shared" si="51"/>
        <v>80.607192428187631</v>
      </c>
      <c r="T76" s="1">
        <f t="shared" si="52"/>
        <v>-42.487703873612944</v>
      </c>
      <c r="U76">
        <v>175</v>
      </c>
      <c r="V76" s="1">
        <f>V$41+VLOOKUP(Lanes!W39,Data,7,FALSE)*(U39/180)</f>
        <v>426.83414348063485</v>
      </c>
      <c r="W76">
        <f t="shared" si="67"/>
        <v>5</v>
      </c>
      <c r="X76" s="1">
        <f t="shared" si="53"/>
        <v>80.713522434339765</v>
      </c>
      <c r="Y76" s="1">
        <f t="shared" si="54"/>
        <v>-43.703061405284878</v>
      </c>
      <c r="Z76">
        <v>175</v>
      </c>
      <c r="AA76" s="1">
        <f>AA$41+VLOOKUP(Lanes!AB39,Data,7,FALSE)*(Z39/180)</f>
        <v>434.39316447102226</v>
      </c>
      <c r="AB76">
        <f t="shared" si="68"/>
        <v>6</v>
      </c>
      <c r="AC76" s="1">
        <f t="shared" si="55"/>
        <v>80.819852440491914</v>
      </c>
      <c r="AD76" s="1">
        <f t="shared" si="56"/>
        <v>-44.918418936956805</v>
      </c>
      <c r="AE76">
        <v>175</v>
      </c>
      <c r="AF76" s="1">
        <f>AF$41+VLOOKUP(Lanes!AG39,Data,7,FALSE)*(AE39/180)</f>
        <v>441.95218546140973</v>
      </c>
      <c r="AG76">
        <f t="shared" si="69"/>
        <v>7</v>
      </c>
      <c r="AH76" s="1">
        <f t="shared" si="57"/>
        <v>80.926182446644063</v>
      </c>
      <c r="AI76" s="1">
        <f t="shared" si="58"/>
        <v>-46.133776468628731</v>
      </c>
      <c r="AJ76">
        <v>175</v>
      </c>
      <c r="AK76" s="1">
        <f>AK$41+VLOOKUP(Lanes!AL39,Data,7,FALSE)*(AJ39/180)</f>
        <v>449.51120645179719</v>
      </c>
      <c r="AL76">
        <f t="shared" si="70"/>
        <v>8</v>
      </c>
      <c r="AM76" s="1">
        <f t="shared" si="59"/>
        <v>81.032512452796198</v>
      </c>
      <c r="AN76" s="1">
        <f t="shared" si="60"/>
        <v>-47.349134000300658</v>
      </c>
      <c r="AO76">
        <v>175</v>
      </c>
      <c r="AP76" s="1">
        <f>AP$41+VLOOKUP(Lanes!AQ39,Data,7,FALSE)*(AO39/180)</f>
        <v>457.07022744218455</v>
      </c>
      <c r="AQ76">
        <f t="shared" si="71"/>
        <v>9</v>
      </c>
      <c r="AR76" s="1">
        <f t="shared" si="61"/>
        <v>81.138842458948346</v>
      </c>
      <c r="AS76" s="1">
        <f t="shared" si="62"/>
        <v>-48.564491531972585</v>
      </c>
    </row>
    <row r="77" spans="1:45" x14ac:dyDescent="0.2">
      <c r="B77" s="1">
        <f>VLOOKUP(C77,Data,10,FALSE)</f>
        <v>400.01803218836801</v>
      </c>
      <c r="C77">
        <f t="shared" si="63"/>
        <v>1</v>
      </c>
      <c r="D77" s="1">
        <f t="shared" si="45"/>
        <v>76.890000000000015</v>
      </c>
      <c r="E77" s="1">
        <f t="shared" si="46"/>
        <v>-38.99</v>
      </c>
      <c r="G77" s="1">
        <f>VLOOKUP(H77,Data,10,FALSE)</f>
        <v>407.6835182631271</v>
      </c>
      <c r="H77">
        <f t="shared" si="64"/>
        <v>2</v>
      </c>
      <c r="I77" s="1">
        <f t="shared" si="47"/>
        <v>76.890000000000015</v>
      </c>
      <c r="J77" s="1">
        <f t="shared" si="48"/>
        <v>-40.21</v>
      </c>
      <c r="L77" s="1">
        <f>VLOOKUP(M77,Data,10,FALSE)</f>
        <v>415.34900433788619</v>
      </c>
      <c r="M77">
        <f t="shared" si="65"/>
        <v>3</v>
      </c>
      <c r="N77" s="1">
        <f t="shared" si="49"/>
        <v>76.890000000000015</v>
      </c>
      <c r="O77" s="1">
        <f t="shared" si="50"/>
        <v>-41.43</v>
      </c>
      <c r="Q77" s="1">
        <f>VLOOKUP(R77,Data,10,FALSE)</f>
        <v>423.01449041264527</v>
      </c>
      <c r="R77">
        <f t="shared" si="66"/>
        <v>4</v>
      </c>
      <c r="S77" s="1">
        <f t="shared" si="51"/>
        <v>76.890000000000015</v>
      </c>
      <c r="T77" s="1">
        <f t="shared" si="52"/>
        <v>-42.65</v>
      </c>
      <c r="V77" s="1">
        <f>VLOOKUP(W77,Data,10,FALSE)</f>
        <v>430.67997648740436</v>
      </c>
      <c r="W77">
        <f t="shared" si="67"/>
        <v>5</v>
      </c>
      <c r="X77" s="1">
        <f t="shared" si="53"/>
        <v>76.890000000000015</v>
      </c>
      <c r="Y77" s="1">
        <f t="shared" si="54"/>
        <v>-43.87</v>
      </c>
      <c r="AA77" s="1">
        <f>VLOOKUP(AB77,Data,10,FALSE)</f>
        <v>438.34546256216345</v>
      </c>
      <c r="AB77">
        <f t="shared" si="68"/>
        <v>6</v>
      </c>
      <c r="AC77" s="1">
        <f t="shared" si="55"/>
        <v>76.890000000000015</v>
      </c>
      <c r="AD77" s="1">
        <f t="shared" si="56"/>
        <v>-45.089999999999996</v>
      </c>
      <c r="AF77" s="1">
        <f>VLOOKUP(AG77,Data,10,FALSE)</f>
        <v>446.01094863692254</v>
      </c>
      <c r="AG77">
        <f t="shared" si="69"/>
        <v>7</v>
      </c>
      <c r="AH77" s="1">
        <f t="shared" si="57"/>
        <v>76.890000000000015</v>
      </c>
      <c r="AI77" s="1">
        <f t="shared" si="58"/>
        <v>-46.309999999999995</v>
      </c>
      <c r="AK77" s="1">
        <f>VLOOKUP(AL77,Data,10,FALSE)</f>
        <v>453.67643471168162</v>
      </c>
      <c r="AL77">
        <f t="shared" si="70"/>
        <v>8</v>
      </c>
      <c r="AM77" s="1">
        <f t="shared" si="59"/>
        <v>76.890000000000015</v>
      </c>
      <c r="AN77" s="1">
        <f t="shared" si="60"/>
        <v>-47.529999999999994</v>
      </c>
      <c r="AP77" s="1">
        <f>VLOOKUP(AQ77,Data,10,FALSE)</f>
        <v>461.34192078644071</v>
      </c>
      <c r="AQ77">
        <f t="shared" si="71"/>
        <v>9</v>
      </c>
      <c r="AR77" s="1">
        <f t="shared" si="61"/>
        <v>76.890000000000015</v>
      </c>
      <c r="AS77" s="1">
        <f t="shared" si="62"/>
        <v>-48.749999999999993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9D3C-51FA-4C48-8E65-D24F7236047A}">
  <dimension ref="A1:E23"/>
  <sheetViews>
    <sheetView workbookViewId="0"/>
  </sheetViews>
  <sheetFormatPr baseColWidth="10" defaultRowHeight="16" x14ac:dyDescent="0.2"/>
  <sheetData>
    <row r="1" spans="1:5" x14ac:dyDescent="0.2">
      <c r="A1" t="s">
        <v>28</v>
      </c>
      <c r="B1" s="1"/>
      <c r="D1" s="1"/>
      <c r="E1" s="1"/>
    </row>
    <row r="2" spans="1:5" x14ac:dyDescent="0.2">
      <c r="A2" s="2" t="s">
        <v>6</v>
      </c>
      <c r="B2" s="3" t="s">
        <v>0</v>
      </c>
      <c r="C2" s="3" t="s">
        <v>1</v>
      </c>
      <c r="E2" s="3"/>
    </row>
    <row r="3" spans="1:5" x14ac:dyDescent="0.2">
      <c r="A3" t="s">
        <v>0</v>
      </c>
      <c r="B3">
        <v>0</v>
      </c>
      <c r="C3">
        <v>0</v>
      </c>
    </row>
    <row r="4" spans="1:5" x14ac:dyDescent="0.2">
      <c r="A4" t="s">
        <v>1</v>
      </c>
      <c r="B4">
        <f>Straight</f>
        <v>76.89</v>
      </c>
      <c r="C4">
        <v>0</v>
      </c>
    </row>
    <row r="5" spans="1:5" x14ac:dyDescent="0.2">
      <c r="A5" t="s">
        <v>2</v>
      </c>
      <c r="B5">
        <v>0</v>
      </c>
      <c r="C5">
        <f>Radius</f>
        <v>38.99</v>
      </c>
    </row>
    <row r="6" spans="1:5" x14ac:dyDescent="0.2">
      <c r="A6" t="s">
        <v>3</v>
      </c>
      <c r="B6">
        <f>Straight</f>
        <v>76.89</v>
      </c>
      <c r="C6">
        <f>Radius</f>
        <v>38.99</v>
      </c>
    </row>
    <row r="7" spans="1:5" x14ac:dyDescent="0.2">
      <c r="A7" t="s">
        <v>4</v>
      </c>
      <c r="B7">
        <v>0</v>
      </c>
      <c r="C7">
        <f>-Radius</f>
        <v>-38.99</v>
      </c>
    </row>
    <row r="8" spans="1:5" x14ac:dyDescent="0.2">
      <c r="A8" t="s">
        <v>5</v>
      </c>
      <c r="B8">
        <f>Straight</f>
        <v>76.89</v>
      </c>
      <c r="C8">
        <f>-Radius</f>
        <v>-38.99</v>
      </c>
    </row>
    <row r="9" spans="1:5" x14ac:dyDescent="0.2">
      <c r="A9" t="s">
        <v>48</v>
      </c>
      <c r="B9" s="1">
        <f>Straight-25.96</f>
        <v>50.93</v>
      </c>
      <c r="C9" s="1">
        <f>Radius-5.8</f>
        <v>33.190000000000005</v>
      </c>
      <c r="E9" s="1"/>
    </row>
    <row r="10" spans="1:5" x14ac:dyDescent="0.2">
      <c r="A10" t="s">
        <v>50</v>
      </c>
      <c r="B10" s="4">
        <f>Distances!E189</f>
        <v>-28.62</v>
      </c>
      <c r="C10" s="4">
        <f>Distances!F189</f>
        <v>12.11</v>
      </c>
      <c r="E10" s="1"/>
    </row>
    <row r="11" spans="1:5" x14ac:dyDescent="0.2">
      <c r="A11" t="s">
        <v>49</v>
      </c>
      <c r="B11" s="4">
        <f>Distances!E203</f>
        <v>-33.340000000000003</v>
      </c>
      <c r="C11" s="4">
        <f>Distances!F203</f>
        <v>0.5</v>
      </c>
      <c r="E11" s="1"/>
    </row>
    <row r="12" spans="1:5" x14ac:dyDescent="0.2">
      <c r="A12" t="s">
        <v>42</v>
      </c>
      <c r="B12">
        <v>0</v>
      </c>
      <c r="C12">
        <f>OutRadius+1.84</f>
        <v>50.589999999999996</v>
      </c>
    </row>
    <row r="13" spans="1:5" x14ac:dyDescent="0.2">
      <c r="A13" t="s">
        <v>41</v>
      </c>
      <c r="B13" s="1">
        <f>Straight</f>
        <v>76.89</v>
      </c>
      <c r="C13" s="1">
        <f>OutRadius+0.78</f>
        <v>49.529999999999994</v>
      </c>
    </row>
    <row r="14" spans="1:5" x14ac:dyDescent="0.2">
      <c r="A14" t="s">
        <v>44</v>
      </c>
      <c r="B14" s="1">
        <v>0</v>
      </c>
      <c r="C14" s="1">
        <f>-OutRadius-1.06</f>
        <v>-49.809999999999995</v>
      </c>
    </row>
    <row r="15" spans="1:5" x14ac:dyDescent="0.2">
      <c r="A15" t="s">
        <v>43</v>
      </c>
      <c r="B15" s="1">
        <f>Straight</f>
        <v>76.89</v>
      </c>
      <c r="C15" s="1">
        <f>-OutRadius-1.32</f>
        <v>-50.069999999999993</v>
      </c>
    </row>
    <row r="16" spans="1:5" x14ac:dyDescent="0.2">
      <c r="A16" t="s">
        <v>51</v>
      </c>
      <c r="B16" s="1">
        <v>-50.57</v>
      </c>
      <c r="C16" s="1">
        <v>0</v>
      </c>
    </row>
    <row r="17" spans="1:3" x14ac:dyDescent="0.2">
      <c r="A17" t="s">
        <v>45</v>
      </c>
      <c r="B17" s="4">
        <f>Distances!E149</f>
        <v>119.75</v>
      </c>
      <c r="C17" s="4">
        <f>Distances!F149</f>
        <v>25.67</v>
      </c>
    </row>
    <row r="18" spans="1:3" x14ac:dyDescent="0.2">
      <c r="A18" t="s">
        <v>46</v>
      </c>
      <c r="B18" s="4">
        <f>Distances!E172</f>
        <v>94.11</v>
      </c>
      <c r="C18" s="4">
        <f>Distances!F172</f>
        <v>-47.14</v>
      </c>
    </row>
    <row r="19" spans="1:3" x14ac:dyDescent="0.2">
      <c r="A19" t="s">
        <v>47</v>
      </c>
      <c r="B19" s="4">
        <f>Distances!E175</f>
        <v>108.67</v>
      </c>
      <c r="C19" s="4">
        <f>Distances!F175</f>
        <v>-38.770000000000003</v>
      </c>
    </row>
    <row r="20" spans="1:3" x14ac:dyDescent="0.2">
      <c r="A20" t="s">
        <v>52</v>
      </c>
      <c r="B20" s="4">
        <f>Distances!E220</f>
        <v>8.24</v>
      </c>
      <c r="C20" s="4">
        <f>Distances!F220</f>
        <v>-34.96</v>
      </c>
    </row>
    <row r="21" spans="1:3" x14ac:dyDescent="0.2">
      <c r="A21" t="s">
        <v>39</v>
      </c>
      <c r="B21" s="1">
        <v>126.54</v>
      </c>
      <c r="C21" s="1">
        <v>0</v>
      </c>
    </row>
    <row r="22" spans="1:3" x14ac:dyDescent="0.2">
      <c r="A22" t="s">
        <v>57</v>
      </c>
      <c r="B22">
        <v>-23.11</v>
      </c>
      <c r="C22">
        <f>-Radius</f>
        <v>-38.99</v>
      </c>
    </row>
    <row r="23" spans="1:3" x14ac:dyDescent="0.2">
      <c r="A23" t="s">
        <v>58</v>
      </c>
      <c r="B23">
        <v>-23.11</v>
      </c>
      <c r="C23">
        <f>-OutRadius</f>
        <v>-48.749999999999993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5EA5-6D6C-5D4F-A376-800138B80F66}">
  <dimension ref="A1:Y19"/>
  <sheetViews>
    <sheetView topLeftCell="E1" zoomScaleNormal="100" workbookViewId="0">
      <selection activeCell="S4" sqref="S4:T4"/>
    </sheetView>
  </sheetViews>
  <sheetFormatPr baseColWidth="10" defaultRowHeight="16" x14ac:dyDescent="0.2"/>
  <sheetData>
    <row r="1" spans="1:25" x14ac:dyDescent="0.2">
      <c r="A1" t="s">
        <v>29</v>
      </c>
      <c r="B1" s="1" t="s">
        <v>55</v>
      </c>
      <c r="D1" s="1"/>
      <c r="E1" s="1"/>
      <c r="F1" t="s">
        <v>30</v>
      </c>
      <c r="G1" s="1" t="s">
        <v>55</v>
      </c>
      <c r="I1" s="1"/>
      <c r="J1" s="1"/>
      <c r="K1" t="s">
        <v>17</v>
      </c>
      <c r="L1" t="s">
        <v>54</v>
      </c>
      <c r="P1" t="s">
        <v>36</v>
      </c>
      <c r="Q1" t="s">
        <v>53</v>
      </c>
      <c r="S1" s="1"/>
      <c r="T1" s="1"/>
      <c r="U1" t="s">
        <v>37</v>
      </c>
      <c r="V1" t="s">
        <v>40</v>
      </c>
      <c r="X1" s="1"/>
      <c r="Y1" s="1"/>
    </row>
    <row r="2" spans="1:25" x14ac:dyDescent="0.2">
      <c r="A2" t="s">
        <v>6</v>
      </c>
      <c r="B2" s="1">
        <v>200</v>
      </c>
      <c r="C2" s="2" t="s">
        <v>14</v>
      </c>
      <c r="D2" s="3" t="s">
        <v>0</v>
      </c>
      <c r="E2" s="3" t="s">
        <v>1</v>
      </c>
      <c r="F2" t="s">
        <v>6</v>
      </c>
      <c r="G2" s="1">
        <v>400</v>
      </c>
      <c r="H2" s="2" t="s">
        <v>14</v>
      </c>
      <c r="I2" s="3" t="s">
        <v>0</v>
      </c>
      <c r="J2" s="3" t="s">
        <v>1</v>
      </c>
      <c r="K2" t="s">
        <v>6</v>
      </c>
      <c r="L2" s="1"/>
      <c r="M2" s="2" t="s">
        <v>14</v>
      </c>
      <c r="N2" s="3" t="s">
        <v>0</v>
      </c>
      <c r="O2" s="3" t="s">
        <v>1</v>
      </c>
      <c r="P2" t="s">
        <v>6</v>
      </c>
      <c r="Q2" s="1"/>
      <c r="R2" s="2" t="s">
        <v>14</v>
      </c>
      <c r="S2" s="3" t="s">
        <v>0</v>
      </c>
      <c r="T2" s="3" t="s">
        <v>1</v>
      </c>
      <c r="U2" t="s">
        <v>6</v>
      </c>
      <c r="V2" s="1"/>
      <c r="W2" s="2" t="s">
        <v>14</v>
      </c>
      <c r="X2" s="3" t="s">
        <v>0</v>
      </c>
      <c r="Y2" s="3" t="s">
        <v>1</v>
      </c>
    </row>
    <row r="3" spans="1:25" x14ac:dyDescent="0.2">
      <c r="A3" t="str">
        <f>CONCATENATE("200-",C3)</f>
        <v>200-1</v>
      </c>
      <c r="B3" s="1">
        <f t="shared" ref="B3:B10" si="0">B$2*DIstanceMultiplier</f>
        <v>200.00901609418401</v>
      </c>
      <c r="C3">
        <v>1</v>
      </c>
      <c r="D3" s="1">
        <f t="shared" ref="D3:D10" si="1">(Straight-(IF(B3&gt;VLOOKUP(C3,Data,4,FALSE),1,B3/VLOOKUP(C3,Data,4,FALSE)))*Straight+(IF(B3&gt;VLOOKUP(C3,Data,9,FALSE),1,IF(B3&gt;VLOOKUP(C3,Data,8,FALSE),(B3-VLOOKUP(C3,Data,8,FALSE))/VLOOKUP(C3,Data,6,FALSE),0)))*Straight)-VLOOKUP(C3,Data,2,FALSE)*SIN(RADIANS(180*(IF(B3&gt;VLOOKUP(C3,Data,8,FALSE),1,IF(B3&gt;VLOOKUP(C3,Data,4,FALSE),(B3-VLOOKUP(C3,Data,4,FALSE))/VLOOKUP(C3,Data,5,FALSE),0)))+180*(IF(B3&gt;VLOOKUP(C3,Data,10,FALSE),1,IF(B3&gt;VLOOKUP(C3,Data,9,FALSE),(B3-VLOOKUP(C3,Data,9,FALSE))/VLOOKUP(C3,Data,7,FALSE),0)))))</f>
        <v>-4.7748978698755303E-15</v>
      </c>
      <c r="E3" s="1">
        <f t="shared" ref="E3:E10" si="2">-VLOOKUP(C3,Data,2,FALSE)*COS(RADIANS(180*(IF(B3&gt;VLOOKUP(C3,Data,8,FALSE),1,IF(B3&gt;VLOOKUP(C3,Data,4,FALSE),(B3-VLOOKUP(C3,Data,4,FALSE))/VLOOKUP(C3,Data,5,FALSE),0)))+180*(IF(B3&gt;VLOOKUP(C3,Data,10,FALSE),1,IF(B3&gt;VLOOKUP(C3,Data,9,FALSE),(B3-VLOOKUP(C3,Data,9,FALSE))/VLOOKUP(C3,Data,7,FALSE),0)))))</f>
        <v>38.99</v>
      </c>
      <c r="F3" t="str">
        <f>CONCATENATE("400-",H3)</f>
        <v>400-1</v>
      </c>
      <c r="G3" s="1">
        <f t="shared" ref="G3:G10" si="3">G$2*DIstanceMultiplier</f>
        <v>400.01803218836801</v>
      </c>
      <c r="H3">
        <v>1</v>
      </c>
      <c r="I3" s="1">
        <f t="shared" ref="I3:I10" si="4">(Straight-(IF(G3&gt;VLOOKUP(H3,Data,4,FALSE),1,G3/VLOOKUP(H3,Data,4,FALSE)))*Straight+(IF(G3&gt;VLOOKUP(H3,Data,9,FALSE),1,IF(G3&gt;VLOOKUP(H3,Data,8,FALSE),(G3-VLOOKUP(H3,Data,8,FALSE))/VLOOKUP(H3,Data,6,FALSE),0)))*Straight)-VLOOKUP(H3,Data,2,FALSE)*SIN(RADIANS(180*(IF(G3&gt;VLOOKUP(H3,Data,8,FALSE),1,IF(G3&gt;VLOOKUP(H3,Data,4,FALSE),(G3-VLOOKUP(H3,Data,4,FALSE))/VLOOKUP(H3,Data,5,FALSE),0)))+180*(IF(G3&gt;VLOOKUP(H3,Data,10,FALSE),1,IF(G3&gt;VLOOKUP(H3,Data,9,FALSE),(G3-VLOOKUP(H3,Data,9,FALSE))/VLOOKUP(H3,Data,7,FALSE),0)))))</f>
        <v>76.890000000000015</v>
      </c>
      <c r="J3" s="1">
        <f t="shared" ref="J3:J10" si="5">-VLOOKUP(H3,Data,2,FALSE)*COS(RADIANS(180*(IF(G3&gt;VLOOKUP(H3,Data,8,FALSE),1,IF(G3&gt;VLOOKUP(H3,Data,4,FALSE),(G3-VLOOKUP(H3,Data,4,FALSE))/VLOOKUP(H3,Data,5,FALSE),0)))+180*(IF(G3&gt;VLOOKUP(H3,Data,10,FALSE),1,IF(G3&gt;VLOOKUP(H3,Data,9,FALSE),(G3-VLOOKUP(H3,Data,9,FALSE))/VLOOKUP(H3,Data,7,FALSE),0)))))</f>
        <v>-38.99</v>
      </c>
      <c r="K3" t="str">
        <f>CONCATENATE("800-S-",M3)</f>
        <v>800-S-1</v>
      </c>
      <c r="L3" s="1">
        <f t="shared" ref="L3:L10" si="6">(400*DIstanceMultiplier)+VLOOKUP(M3,Data,11,FALSE)+(N11-N$11)</f>
        <v>400.01803218836801</v>
      </c>
      <c r="M3">
        <v>1</v>
      </c>
      <c r="N3" s="1">
        <f t="shared" ref="N3:N10" si="7">(Straight-(IF(L3&gt;VLOOKUP(M3,Data,4,FALSE),1,L3/VLOOKUP(M3,Data,4,FALSE)))*Straight+(IF(L3&gt;VLOOKUP(M3,Data,9,FALSE),1,IF(L3&gt;VLOOKUP(M3,Data,8,FALSE),(L3-VLOOKUP(M3,Data,8,FALSE))/VLOOKUP(M3,Data,6,FALSE),0)))*Straight)-VLOOKUP(M3,Data,2,FALSE)*SIN(RADIANS(180*(IF(L3&gt;VLOOKUP(M3,Data,8,FALSE),1,IF(L3&gt;VLOOKUP(M3,Data,4,FALSE),(L3-VLOOKUP(M3,Data,4,FALSE))/VLOOKUP(M3,Data,5,FALSE),0)))+180*(IF(L3&gt;VLOOKUP(M3,Data,10,FALSE),1,IF(L3&gt;VLOOKUP(M3,Data,9,FALSE),(L3-VLOOKUP(M3,Data,9,FALSE))/VLOOKUP(M3,Data,7,FALSE),0)))))</f>
        <v>76.890000000000015</v>
      </c>
      <c r="O3" s="1">
        <f t="shared" ref="O3:O10" si="8">-VLOOKUP(M3,Data,2,FALSE)*COS(RADIANS(180*(IF(L3&gt;VLOOKUP(M3,Data,8,FALSE),1,IF(L3&gt;VLOOKUP(M3,Data,4,FALSE),(L3-VLOOKUP(M3,Data,4,FALSE))/VLOOKUP(M3,Data,5,FALSE),0)))+180*(IF(L3&gt;VLOOKUP(M3,Data,10,FALSE),1,IF(L3&gt;VLOOKUP(M3,Data,9,FALSE),(L3-VLOOKUP(M3,Data,9,FALSE))/VLOOKUP(M3,Data,7,FALSE),0)))))</f>
        <v>-38.99</v>
      </c>
      <c r="P3" t="str">
        <f>CONCATENATE("3000-",R3)</f>
        <v>3000-1</v>
      </c>
      <c r="Q3" s="1">
        <f>B$2*DIstanceMultiplier</f>
        <v>200.00901609418401</v>
      </c>
      <c r="R3">
        <v>1</v>
      </c>
      <c r="S3" s="1">
        <f t="shared" ref="S3:S11" si="9">(Straight-(IF(Q3&gt;VLOOKUP(R3,Data,4,FALSE),1,Q3/VLOOKUP(R3,Data,4,FALSE)))*Straight+(IF(Q3&gt;VLOOKUP(R3,Data,9,FALSE),1,IF(Q3&gt;VLOOKUP(R3,Data,8,FALSE),(Q3-VLOOKUP(R3,Data,8,FALSE))/VLOOKUP(R3,Data,6,FALSE),0)))*Straight)-VLOOKUP(R3,Data,2,FALSE)*SIN(RADIANS(180*(IF(Q3&gt;VLOOKUP(R3,Data,8,FALSE),1,IF(Q3&gt;VLOOKUP(R3,Data,4,FALSE),(Q3-VLOOKUP(R3,Data,4,FALSE))/VLOOKUP(R3,Data,5,FALSE),0)))+180*(IF(Q3&gt;VLOOKUP(R3,Data,10,FALSE),1,IF(Q3&gt;VLOOKUP(R3,Data,9,FALSE),(Q3-VLOOKUP(R3,Data,9,FALSE))/VLOOKUP(R3,Data,7,FALSE),0)))))</f>
        <v>-4.7748978698755303E-15</v>
      </c>
      <c r="T3" s="1">
        <f t="shared" ref="T3:T11" si="10">-VLOOKUP(R3,Data,2,FALSE)*COS(RADIANS(180*(IF(Q3&gt;VLOOKUP(R3,Data,8,FALSE),1,IF(Q3&gt;VLOOKUP(R3,Data,4,FALSE),(Q3-VLOOKUP(R3,Data,4,FALSE))/VLOOKUP(R3,Data,5,FALSE),0)))+180*(IF(Q3&gt;VLOOKUP(R3,Data,10,FALSE),1,IF(Q3&gt;VLOOKUP(R3,Data,9,FALSE),(Q3-VLOOKUP(R3,Data,9,FALSE))/VLOOKUP(R3,Data,7,FALSE),0)))))</f>
        <v>38.99</v>
      </c>
      <c r="U3" t="str">
        <f>CONCATENATE("1500-",W3)</f>
        <v>1500-1</v>
      </c>
      <c r="V3" s="1">
        <f>300*DIstanceMultiplier</f>
        <v>300.01352414127598</v>
      </c>
      <c r="W3">
        <v>1</v>
      </c>
      <c r="X3" s="1">
        <f t="shared" ref="X3:X11" si="11">(Straight-(IF(V3&gt;VLOOKUP(W3,Data,4,FALSE),1,V3/VLOOKUP(W3,Data,4,FALSE)))*Straight+(IF(V3&gt;VLOOKUP(W3,Data,9,FALSE),1,IF(V3&gt;VLOOKUP(W3,Data,8,FALSE),(V3-VLOOKUP(W3,Data,8,FALSE))/VLOOKUP(W3,Data,6,FALSE),0)))*Straight)-VLOOKUP(W3,Data,2,FALSE)*SIN(RADIANS(180*(IF(V3&gt;VLOOKUP(W3,Data,8,FALSE),1,IF(V3&gt;VLOOKUP(W3,Data,4,FALSE),(V3-VLOOKUP(W3,Data,4,FALSE))/VLOOKUP(W3,Data,5,FALSE),0)))+180*(IF(V3&gt;VLOOKUP(W3,Data,10,FALSE),1,IF(V3&gt;VLOOKUP(W3,Data,9,FALSE),(V3-VLOOKUP(W3,Data,9,FALSE))/VLOOKUP(W3,Data,7,FALSE),0)))))</f>
        <v>98.576239608110257</v>
      </c>
      <c r="Y3" s="1">
        <f t="shared" ref="Y3:Y11" si="12">-VLOOKUP(W3,Data,2,FALSE)*COS(RADIANS(180*(IF(V3&gt;VLOOKUP(W3,Data,8,FALSE),1,IF(V3&gt;VLOOKUP(W3,Data,4,FALSE),(V3-VLOOKUP(W3,Data,4,FALSE))/VLOOKUP(W3,Data,5,FALSE),0)))+180*(IF(V3&gt;VLOOKUP(W3,Data,10,FALSE),1,IF(V3&gt;VLOOKUP(W3,Data,9,FALSE),(V3-VLOOKUP(W3,Data,9,FALSE))/VLOOKUP(W3,Data,7,FALSE),0)))))</f>
        <v>32.402578781011094</v>
      </c>
    </row>
    <row r="4" spans="1:25" x14ac:dyDescent="0.2">
      <c r="A4" t="str">
        <f t="shared" ref="A4:A10" si="13">CONCATENATE("200-",C4)</f>
        <v>200-2</v>
      </c>
      <c r="B4" s="1">
        <f t="shared" si="0"/>
        <v>200.00901609418401</v>
      </c>
      <c r="C4">
        <v>2</v>
      </c>
      <c r="D4" s="1">
        <f t="shared" si="1"/>
        <v>-3.8080583124796639</v>
      </c>
      <c r="E4" s="1">
        <f t="shared" si="2"/>
        <v>40.029274186384576</v>
      </c>
      <c r="F4" t="str">
        <f t="shared" ref="F4:F10" si="14">CONCATENATE("400-",H4)</f>
        <v>400-2</v>
      </c>
      <c r="G4" s="1">
        <f t="shared" si="3"/>
        <v>400.01803218836801</v>
      </c>
      <c r="H4">
        <v>2</v>
      </c>
      <c r="I4" s="1">
        <f t="shared" si="4"/>
        <v>84.471885615915909</v>
      </c>
      <c r="J4" s="1">
        <f t="shared" si="5"/>
        <v>-39.488721307572973</v>
      </c>
      <c r="K4" t="str">
        <f t="shared" ref="K4:K10" si="15">CONCATENATE("800-S-",M4)</f>
        <v>800-S-2</v>
      </c>
      <c r="L4" s="1">
        <f t="shared" si="6"/>
        <v>403.85077522574755</v>
      </c>
      <c r="M4">
        <v>2</v>
      </c>
      <c r="N4" s="1">
        <f t="shared" si="7"/>
        <v>80.698058312479688</v>
      </c>
      <c r="O4" s="1">
        <f t="shared" si="8"/>
        <v>-40.029274186384576</v>
      </c>
      <c r="P4" t="str">
        <f t="shared" ref="P4:P11" si="16">CONCATENATE("3000-",R4)</f>
        <v>3000-2</v>
      </c>
      <c r="Q4" s="1">
        <v>203.67</v>
      </c>
      <c r="R4">
        <v>2</v>
      </c>
      <c r="S4" s="1">
        <f t="shared" si="9"/>
        <v>-0.17090853464282107</v>
      </c>
      <c r="T4" s="1">
        <f t="shared" si="10"/>
        <v>40.209636783646609</v>
      </c>
      <c r="U4" t="str">
        <f t="shared" ref="U4:U11" si="17">CONCATENATE("1500-",W4)</f>
        <v>1500-2</v>
      </c>
      <c r="V4" s="1">
        <v>304.39</v>
      </c>
      <c r="W4">
        <v>2</v>
      </c>
      <c r="X4" s="1">
        <f t="shared" si="11"/>
        <v>99.109191667173604</v>
      </c>
      <c r="Y4" s="1">
        <f t="shared" si="12"/>
        <v>33.513454337883516</v>
      </c>
    </row>
    <row r="5" spans="1:25" x14ac:dyDescent="0.2">
      <c r="A5" t="str">
        <f t="shared" si="13"/>
        <v>200-3</v>
      </c>
      <c r="B5" s="1">
        <f t="shared" si="0"/>
        <v>200.00901609418401</v>
      </c>
      <c r="C5">
        <v>3</v>
      </c>
      <c r="D5" s="1">
        <f t="shared" si="1"/>
        <v>-7.5856237922469374</v>
      </c>
      <c r="E5" s="1">
        <f t="shared" si="2"/>
        <v>40.729635545662539</v>
      </c>
      <c r="F5" t="str">
        <f t="shared" si="14"/>
        <v>400-3</v>
      </c>
      <c r="G5" s="1">
        <f t="shared" si="3"/>
        <v>400.01803218836801</v>
      </c>
      <c r="H5">
        <v>3</v>
      </c>
      <c r="I5" s="1">
        <f t="shared" si="4"/>
        <v>91.804781194531714</v>
      </c>
      <c r="J5" s="1">
        <f t="shared" si="5"/>
        <v>-38.652221177045483</v>
      </c>
      <c r="K5" t="str">
        <f t="shared" si="15"/>
        <v>800-S-3</v>
      </c>
      <c r="L5" s="1">
        <f t="shared" si="6"/>
        <v>407.67351826312711</v>
      </c>
      <c r="M5">
        <v>3</v>
      </c>
      <c r="N5" s="1">
        <f t="shared" si="7"/>
        <v>84.485407295508381</v>
      </c>
      <c r="O5" s="1">
        <f t="shared" si="8"/>
        <v>-40.727812217394366</v>
      </c>
      <c r="P5" t="str">
        <f t="shared" si="16"/>
        <v>3000-3</v>
      </c>
      <c r="Q5" s="1">
        <v>207.15</v>
      </c>
      <c r="R5">
        <v>3</v>
      </c>
      <c r="S5" s="1">
        <f t="shared" si="9"/>
        <v>-0.52196853142739319</v>
      </c>
      <c r="T5" s="1">
        <f t="shared" si="10"/>
        <v>41.426711779384561</v>
      </c>
      <c r="U5" t="str">
        <f t="shared" si="17"/>
        <v>1500-3</v>
      </c>
      <c r="V5" s="1">
        <v>308.60000000000002</v>
      </c>
      <c r="W5">
        <v>3</v>
      </c>
      <c r="X5" s="1">
        <f t="shared" si="11"/>
        <v>99.503065276657281</v>
      </c>
      <c r="Y5" s="1">
        <f t="shared" si="12"/>
        <v>34.714466419543839</v>
      </c>
    </row>
    <row r="6" spans="1:25" x14ac:dyDescent="0.2">
      <c r="A6" t="str">
        <f t="shared" si="13"/>
        <v>200-4</v>
      </c>
      <c r="B6" s="1">
        <f t="shared" si="0"/>
        <v>200.00901609418401</v>
      </c>
      <c r="C6">
        <v>4</v>
      </c>
      <c r="D6" s="1">
        <f t="shared" si="1"/>
        <v>-11.307711864332953</v>
      </c>
      <c r="E6" s="1">
        <f t="shared" si="2"/>
        <v>41.123693321408084</v>
      </c>
      <c r="F6" t="str">
        <f t="shared" si="14"/>
        <v>400-4</v>
      </c>
      <c r="G6" s="1">
        <f t="shared" si="3"/>
        <v>400.01803218836801</v>
      </c>
      <c r="H6">
        <v>4</v>
      </c>
      <c r="I6" s="1">
        <f t="shared" si="4"/>
        <v>98.69609026380661</v>
      </c>
      <c r="J6" s="1">
        <f t="shared" si="5"/>
        <v>-36.654016524887396</v>
      </c>
      <c r="K6" t="str">
        <f t="shared" si="15"/>
        <v>800-S-4</v>
      </c>
      <c r="L6" s="1">
        <f t="shared" si="6"/>
        <v>411.49626130050666</v>
      </c>
      <c r="M6">
        <v>4</v>
      </c>
      <c r="N6" s="1">
        <f t="shared" si="7"/>
        <v>88.216904887867315</v>
      </c>
      <c r="O6" s="1">
        <f t="shared" si="8"/>
        <v>-41.118411030354849</v>
      </c>
      <c r="P6" t="str">
        <f t="shared" si="16"/>
        <v>3000-4</v>
      </c>
      <c r="Q6" s="1">
        <v>210.47</v>
      </c>
      <c r="R6">
        <v>4</v>
      </c>
      <c r="S6" s="1">
        <f t="shared" si="9"/>
        <v>-1.0323031017663094</v>
      </c>
      <c r="T6" s="1">
        <f t="shared" si="10"/>
        <v>42.637505207341619</v>
      </c>
      <c r="U6" t="str">
        <f t="shared" si="17"/>
        <v>1500-4</v>
      </c>
      <c r="V6" s="1">
        <v>312.64</v>
      </c>
      <c r="W6">
        <v>4</v>
      </c>
      <c r="X6" s="1">
        <f t="shared" si="11"/>
        <v>99.752803022146409</v>
      </c>
      <c r="Y6" s="1">
        <f t="shared" si="12"/>
        <v>36.004371095334143</v>
      </c>
    </row>
    <row r="7" spans="1:25" x14ac:dyDescent="0.2">
      <c r="A7" t="str">
        <f t="shared" si="13"/>
        <v>200-5</v>
      </c>
      <c r="B7" s="1">
        <f t="shared" si="0"/>
        <v>200.00901609418401</v>
      </c>
      <c r="C7">
        <v>5</v>
      </c>
      <c r="D7" s="1">
        <f t="shared" si="1"/>
        <v>-14.955434209628235</v>
      </c>
      <c r="E7" s="1">
        <f t="shared" si="2"/>
        <v>41.242113035118379</v>
      </c>
      <c r="F7" t="str">
        <f t="shared" si="14"/>
        <v>400-5</v>
      </c>
      <c r="G7" s="1">
        <f t="shared" si="3"/>
        <v>400.01803218836801</v>
      </c>
      <c r="H7">
        <v>5</v>
      </c>
      <c r="I7" s="1">
        <f t="shared" si="4"/>
        <v>105.00915697117684</v>
      </c>
      <c r="J7" s="1">
        <f t="shared" si="5"/>
        <v>-33.673281860108567</v>
      </c>
      <c r="K7" t="str">
        <f t="shared" si="15"/>
        <v>800-S-5</v>
      </c>
      <c r="L7" s="1">
        <f t="shared" si="6"/>
        <v>415.24900433788616</v>
      </c>
      <c r="M7">
        <v>5</v>
      </c>
      <c r="N7" s="1">
        <f t="shared" si="7"/>
        <v>91.938978820096153</v>
      </c>
      <c r="O7" s="1">
        <f t="shared" si="8"/>
        <v>-41.208071253970353</v>
      </c>
      <c r="P7" t="str">
        <f t="shared" si="16"/>
        <v>3000-5</v>
      </c>
      <c r="Q7" s="1">
        <v>213.7</v>
      </c>
      <c r="R7">
        <v>5</v>
      </c>
      <c r="S7" s="1">
        <f t="shared" si="9"/>
        <v>-1.6321688196206667</v>
      </c>
      <c r="T7" s="1">
        <f t="shared" si="10"/>
        <v>43.839627335827771</v>
      </c>
      <c r="U7" t="str">
        <f t="shared" si="17"/>
        <v>1500-5</v>
      </c>
      <c r="V7" s="1">
        <v>316.58</v>
      </c>
      <c r="W7">
        <v>5</v>
      </c>
      <c r="X7" s="1">
        <f t="shared" si="11"/>
        <v>99.914850298334116</v>
      </c>
      <c r="Y7" s="1">
        <f t="shared" si="12"/>
        <v>37.342109859236707</v>
      </c>
    </row>
    <row r="8" spans="1:25" x14ac:dyDescent="0.2">
      <c r="A8" t="str">
        <f t="shared" si="13"/>
        <v>200-6</v>
      </c>
      <c r="B8" s="1">
        <f t="shared" si="0"/>
        <v>200.00901609418401</v>
      </c>
      <c r="C8">
        <v>6</v>
      </c>
      <c r="D8" s="1">
        <f t="shared" si="1"/>
        <v>-18.514837313612375</v>
      </c>
      <c r="E8" s="1">
        <f t="shared" si="2"/>
        <v>41.113366430523136</v>
      </c>
      <c r="F8" t="str">
        <f t="shared" si="14"/>
        <v>400-6</v>
      </c>
      <c r="G8" s="1">
        <f t="shared" si="3"/>
        <v>400.01803218836801</v>
      </c>
      <c r="H8">
        <v>6</v>
      </c>
      <c r="I8" s="1">
        <f t="shared" si="4"/>
        <v>110.65390733537667</v>
      </c>
      <c r="J8" s="1">
        <f t="shared" si="5"/>
        <v>-29.884890186314838</v>
      </c>
      <c r="K8" t="str">
        <f t="shared" si="15"/>
        <v>800-S-6</v>
      </c>
      <c r="L8" s="1">
        <f t="shared" si="6"/>
        <v>418.97174737526575</v>
      </c>
      <c r="M8">
        <v>6</v>
      </c>
      <c r="N8" s="1">
        <f t="shared" si="7"/>
        <v>95.595271445875511</v>
      </c>
      <c r="O8" s="1">
        <f t="shared" si="8"/>
        <v>-41.027075451902661</v>
      </c>
      <c r="P8" t="str">
        <f t="shared" si="16"/>
        <v>3000-6</v>
      </c>
      <c r="Q8" s="1">
        <v>216.82</v>
      </c>
      <c r="R8">
        <v>6</v>
      </c>
      <c r="S8" s="1">
        <f t="shared" si="9"/>
        <v>-2.3412882843061742</v>
      </c>
      <c r="T8" s="1">
        <f t="shared" si="10"/>
        <v>45.029173534163057</v>
      </c>
      <c r="U8" t="str">
        <f t="shared" si="17"/>
        <v>1500-6</v>
      </c>
      <c r="V8" s="1">
        <v>320.45</v>
      </c>
      <c r="W8">
        <v>6</v>
      </c>
      <c r="X8" s="1">
        <f t="shared" si="11"/>
        <v>100.01316128302297</v>
      </c>
      <c r="Y8" s="1">
        <f t="shared" si="12"/>
        <v>38.709527409661149</v>
      </c>
    </row>
    <row r="9" spans="1:25" x14ac:dyDescent="0.2">
      <c r="A9" t="str">
        <f t="shared" si="13"/>
        <v>200-7</v>
      </c>
      <c r="B9" s="1">
        <f t="shared" si="0"/>
        <v>200.00901609418401</v>
      </c>
      <c r="C9">
        <v>7</v>
      </c>
      <c r="D9" s="1">
        <f t="shared" si="1"/>
        <v>-21.975938739861952</v>
      </c>
      <c r="E9" s="1">
        <f t="shared" si="2"/>
        <v>40.763638410988712</v>
      </c>
      <c r="F9" t="str">
        <f t="shared" si="14"/>
        <v>400-7</v>
      </c>
      <c r="G9" s="1">
        <f t="shared" si="3"/>
        <v>400.01803218836801</v>
      </c>
      <c r="H9">
        <v>7</v>
      </c>
      <c r="I9" s="1">
        <f t="shared" si="4"/>
        <v>115.57793869720453</v>
      </c>
      <c r="J9" s="1">
        <f t="shared" si="5"/>
        <v>-25.453084279932426</v>
      </c>
      <c r="K9" t="str">
        <f t="shared" si="15"/>
        <v>800-S-7</v>
      </c>
      <c r="L9" s="1">
        <f t="shared" si="6"/>
        <v>422.69449041264528</v>
      </c>
      <c r="M9">
        <v>7</v>
      </c>
      <c r="N9" s="1">
        <f t="shared" si="7"/>
        <v>99.145880032316171</v>
      </c>
      <c r="O9" s="1">
        <f t="shared" si="8"/>
        <v>-40.611475028459019</v>
      </c>
      <c r="P9" t="str">
        <f t="shared" si="16"/>
        <v>3000-7</v>
      </c>
      <c r="Q9" s="1">
        <v>219.83</v>
      </c>
      <c r="R9">
        <v>7</v>
      </c>
      <c r="S9" s="1">
        <f t="shared" si="9"/>
        <v>-3.1593634098799424</v>
      </c>
      <c r="T9" s="1">
        <f t="shared" si="10"/>
        <v>46.20210517762488</v>
      </c>
      <c r="U9" t="str">
        <f t="shared" si="17"/>
        <v>1500-7</v>
      </c>
      <c r="V9" s="1">
        <v>324.14999999999998</v>
      </c>
      <c r="W9">
        <v>7</v>
      </c>
      <c r="X9" s="1">
        <f t="shared" si="11"/>
        <v>99.960397049288389</v>
      </c>
      <c r="Y9" s="1">
        <f t="shared" si="12"/>
        <v>40.154363150076051</v>
      </c>
    </row>
    <row r="10" spans="1:25" x14ac:dyDescent="0.2">
      <c r="A10" t="str">
        <f t="shared" si="13"/>
        <v>200-8</v>
      </c>
      <c r="B10" s="1">
        <f t="shared" si="0"/>
        <v>200.00901609418401</v>
      </c>
      <c r="C10">
        <v>8</v>
      </c>
      <c r="D10" s="1">
        <f t="shared" si="1"/>
        <v>-25.33193310499458</v>
      </c>
      <c r="E10" s="1">
        <f t="shared" si="2"/>
        <v>40.216838080138508</v>
      </c>
      <c r="F10" t="str">
        <f t="shared" si="14"/>
        <v>400-8</v>
      </c>
      <c r="G10" s="1">
        <f t="shared" si="3"/>
        <v>400.01803218836801</v>
      </c>
      <c r="H10">
        <v>8</v>
      </c>
      <c r="I10" s="1">
        <f t="shared" si="4"/>
        <v>119.75851470399607</v>
      </c>
      <c r="J10" s="1">
        <f t="shared" si="5"/>
        <v>-20.527818858156163</v>
      </c>
      <c r="K10" t="str">
        <f t="shared" si="15"/>
        <v>800-S-8</v>
      </c>
      <c r="L10" s="1">
        <f t="shared" si="6"/>
        <v>426.41723345002481</v>
      </c>
      <c r="M10">
        <v>8</v>
      </c>
      <c r="N10" s="1">
        <f t="shared" si="7"/>
        <v>102.58321406925162</v>
      </c>
      <c r="O10" s="1">
        <f t="shared" si="8"/>
        <v>-39.986993520288692</v>
      </c>
      <c r="P10" t="str">
        <f t="shared" si="16"/>
        <v>3000-8</v>
      </c>
      <c r="Q10" s="1">
        <v>222.7</v>
      </c>
      <c r="R10">
        <v>8</v>
      </c>
      <c r="S10" s="1">
        <f t="shared" si="9"/>
        <v>-4.1157164228888936</v>
      </c>
      <c r="T10" s="1">
        <f t="shared" si="10"/>
        <v>47.351470709222561</v>
      </c>
      <c r="U10" t="str">
        <f t="shared" si="17"/>
        <v>1500-8</v>
      </c>
      <c r="V10" s="1">
        <v>327.69</v>
      </c>
      <c r="W10">
        <v>8</v>
      </c>
      <c r="X10" s="1">
        <f t="shared" si="11"/>
        <v>99.76162781012097</v>
      </c>
      <c r="Y10" s="1">
        <f t="shared" si="12"/>
        <v>41.665207803577559</v>
      </c>
    </row>
    <row r="11" spans="1:25" x14ac:dyDescent="0.2">
      <c r="K11" t="str">
        <f>CONCATENATE("800-B-",M11)</f>
        <v>800-B-1</v>
      </c>
      <c r="M11">
        <v>1</v>
      </c>
      <c r="N11">
        <v>76.89</v>
      </c>
      <c r="O11">
        <v>38.99</v>
      </c>
      <c r="P11" t="str">
        <f t="shared" si="16"/>
        <v>3000-9</v>
      </c>
      <c r="Q11" s="1">
        <v>225.4</v>
      </c>
      <c r="R11">
        <v>9</v>
      </c>
      <c r="S11" s="1">
        <f t="shared" si="9"/>
        <v>-5.239285582359118</v>
      </c>
      <c r="T11" s="1">
        <f t="shared" si="10"/>
        <v>48.467642676186379</v>
      </c>
      <c r="U11" t="str">
        <f t="shared" si="17"/>
        <v>1500-9</v>
      </c>
      <c r="V11" s="1">
        <v>331.03</v>
      </c>
      <c r="W11">
        <v>9</v>
      </c>
      <c r="X11" s="1">
        <f t="shared" si="11"/>
        <v>99.377915369227267</v>
      </c>
      <c r="Y11" s="1">
        <f t="shared" si="12"/>
        <v>43.253394807187931</v>
      </c>
    </row>
    <row r="12" spans="1:25" x14ac:dyDescent="0.2">
      <c r="K12" t="str">
        <f t="shared" ref="K12:K19" si="18">CONCATENATE("800-B-",M12)</f>
        <v>800-B-2</v>
      </c>
      <c r="M12">
        <v>2</v>
      </c>
      <c r="N12">
        <v>76.89</v>
      </c>
      <c r="O12">
        <f>O11+1.22</f>
        <v>40.21</v>
      </c>
    </row>
    <row r="13" spans="1:25" x14ac:dyDescent="0.2">
      <c r="K13" t="str">
        <f t="shared" si="18"/>
        <v>800-B-3</v>
      </c>
      <c r="M13">
        <v>3</v>
      </c>
      <c r="N13">
        <f>76.89-0.01</f>
        <v>76.88</v>
      </c>
      <c r="O13">
        <f t="shared" ref="O13:O19" si="19">O12+1.22</f>
        <v>41.43</v>
      </c>
    </row>
    <row r="14" spans="1:25" x14ac:dyDescent="0.2">
      <c r="K14" t="str">
        <f t="shared" si="18"/>
        <v>800-B-4</v>
      </c>
      <c r="M14">
        <v>4</v>
      </c>
      <c r="N14">
        <f>76.89-0.02</f>
        <v>76.87</v>
      </c>
      <c r="O14">
        <f t="shared" si="19"/>
        <v>42.65</v>
      </c>
    </row>
    <row r="15" spans="1:25" x14ac:dyDescent="0.2">
      <c r="K15" t="str">
        <f t="shared" si="18"/>
        <v>800-B-5</v>
      </c>
      <c r="M15">
        <v>5</v>
      </c>
      <c r="N15">
        <f>76.89-0.1</f>
        <v>76.790000000000006</v>
      </c>
      <c r="O15">
        <f t="shared" si="19"/>
        <v>43.87</v>
      </c>
    </row>
    <row r="16" spans="1:25" x14ac:dyDescent="0.2">
      <c r="K16" t="str">
        <f t="shared" si="18"/>
        <v>800-B-6</v>
      </c>
      <c r="M16">
        <v>6</v>
      </c>
      <c r="N16">
        <f>76.89-0.21</f>
        <v>76.680000000000007</v>
      </c>
      <c r="O16">
        <f t="shared" si="19"/>
        <v>45.089999999999996</v>
      </c>
    </row>
    <row r="17" spans="11:15" x14ac:dyDescent="0.2">
      <c r="K17" t="str">
        <f t="shared" si="18"/>
        <v>800-B-7</v>
      </c>
      <c r="M17">
        <v>7</v>
      </c>
      <c r="N17">
        <f>76.89-0.32</f>
        <v>76.570000000000007</v>
      </c>
      <c r="O17">
        <f t="shared" si="19"/>
        <v>46.309999999999995</v>
      </c>
    </row>
    <row r="18" spans="11:15" x14ac:dyDescent="0.2">
      <c r="K18" t="str">
        <f t="shared" si="18"/>
        <v>800-B-8</v>
      </c>
      <c r="M18">
        <v>8</v>
      </c>
      <c r="N18">
        <f>76.89-0.43</f>
        <v>76.459999999999994</v>
      </c>
      <c r="O18">
        <f t="shared" si="19"/>
        <v>47.529999999999994</v>
      </c>
    </row>
    <row r="19" spans="11:15" x14ac:dyDescent="0.2">
      <c r="K19" t="str">
        <f t="shared" si="18"/>
        <v>800-B-9</v>
      </c>
      <c r="M19">
        <v>9</v>
      </c>
      <c r="N19">
        <f>76.89-0.56</f>
        <v>76.33</v>
      </c>
      <c r="O19">
        <f t="shared" si="19"/>
        <v>48.749999999999993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124-DFE1-2449-8F76-27F1A2FB4612}">
  <dimension ref="A1:O26"/>
  <sheetViews>
    <sheetView workbookViewId="0"/>
  </sheetViews>
  <sheetFormatPr baseColWidth="10" defaultRowHeight="16" x14ac:dyDescent="0.2"/>
  <sheetData>
    <row r="1" spans="1:15" x14ac:dyDescent="0.2">
      <c r="A1" t="str">
        <f>CONCATENATE("Change ",B1)</f>
        <v>Change 1</v>
      </c>
      <c r="B1">
        <v>1</v>
      </c>
      <c r="D1" s="1"/>
      <c r="E1" s="1"/>
      <c r="F1" t="str">
        <f>CONCATENATE("Change ",G1)</f>
        <v>Change 2</v>
      </c>
      <c r="G1">
        <v>2</v>
      </c>
      <c r="I1" s="1"/>
      <c r="J1" s="1"/>
      <c r="K1" t="str">
        <f>CONCATENATE("Change ",L1)</f>
        <v>Change 3</v>
      </c>
      <c r="L1">
        <v>3</v>
      </c>
      <c r="N1" s="1"/>
      <c r="O1" s="1"/>
    </row>
    <row r="2" spans="1:15" x14ac:dyDescent="0.2">
      <c r="B2" s="1">
        <v>300</v>
      </c>
      <c r="C2" s="2" t="s">
        <v>14</v>
      </c>
      <c r="D2" s="3" t="s">
        <v>0</v>
      </c>
      <c r="E2" s="3" t="s">
        <v>1</v>
      </c>
      <c r="G2" s="1">
        <v>200</v>
      </c>
      <c r="H2" s="2" t="s">
        <v>14</v>
      </c>
      <c r="I2" s="3" t="s">
        <v>0</v>
      </c>
      <c r="J2" s="3" t="s">
        <v>1</v>
      </c>
      <c r="L2" s="1">
        <v>100</v>
      </c>
      <c r="M2" s="2" t="s">
        <v>14</v>
      </c>
      <c r="N2" s="3" t="s">
        <v>0</v>
      </c>
      <c r="O2" s="3" t="s">
        <v>1</v>
      </c>
    </row>
    <row r="3" spans="1:15" x14ac:dyDescent="0.2">
      <c r="A3" t="str">
        <f>CONCATENATE("R-S-",B$1,"-",C3)</f>
        <v>R-S-1-1</v>
      </c>
      <c r="B3" s="1">
        <f>B2*DIstanceMultiplier+20</f>
        <v>320.01352414127598</v>
      </c>
      <c r="C3">
        <v>1</v>
      </c>
      <c r="D3" s="1">
        <f t="shared" ref="D3:D26" si="0">(Straight-(IF(B3&gt;VLOOKUP(C3,Data,4,FALSE),1,B3/VLOOKUP(C3,Data,4,FALSE)))*Straight+(IF(B3&gt;VLOOKUP(C3,Data,9,FALSE),1,IF(B3&gt;VLOOKUP(C3,Data,8,FALSE),(B3-VLOOKUP(C3,Data,8,FALSE))/VLOOKUP(C3,Data,6,FALSE),0)))*Straight)-VLOOKUP(C3,Data,2,FALSE)*SIN(RADIANS(180*(IF(B3&gt;VLOOKUP(C3,Data,8,FALSE),1,IF(B3&gt;VLOOKUP(C3,Data,4,FALSE),(B3-VLOOKUP(C3,Data,4,FALSE))/VLOOKUP(C3,Data,5,FALSE),0)))+180*(IF(B3&gt;VLOOKUP(C3,Data,10,FALSE),1,IF(B3&gt;VLOOKUP(C3,Data,9,FALSE),(B3-VLOOKUP(C3,Data,9,FALSE))/VLOOKUP(C3,Data,7,FALSE),0)))))</f>
        <v>111.6406603040468</v>
      </c>
      <c r="E3" s="1">
        <f t="shared" ref="E3:E26" si="1">-VLOOKUP(C3,Data,2,FALSE)*COS(RADIANS(180*(IF(B3&gt;VLOOKUP(C3,Data,8,FALSE),1,IF(B3&gt;VLOOKUP(C3,Data,4,FALSE),(B3-VLOOKUP(C3,Data,4,FALSE))/VLOOKUP(C3,Data,5,FALSE),0)))+180*(IF(B3&gt;VLOOKUP(C3,Data,10,FALSE),1,IF(B3&gt;VLOOKUP(C3,Data,9,FALSE),(B3-VLOOKUP(C3,Data,9,FALSE))/VLOOKUP(C3,Data,7,FALSE),0)))))</f>
        <v>17.680828838964135</v>
      </c>
      <c r="F3" t="str">
        <f>CONCATENATE("R-S-",G$1,"-",H3)</f>
        <v>R-S-2-1</v>
      </c>
      <c r="G3" s="1">
        <f>G2*DIstanceMultiplier+20</f>
        <v>220.00901609418401</v>
      </c>
      <c r="H3">
        <v>1</v>
      </c>
      <c r="I3" s="1">
        <f t="shared" ref="I3:I26" si="2">(Straight-(IF(G3&gt;VLOOKUP(H3,Data,4,FALSE),1,G3/VLOOKUP(H3,Data,4,FALSE)))*Straight+(IF(G3&gt;VLOOKUP(H3,Data,9,FALSE),1,IF(G3&gt;VLOOKUP(H3,Data,8,FALSE),(G3-VLOOKUP(H3,Data,8,FALSE))/VLOOKUP(H3,Data,6,FALSE),0)))*Straight)-VLOOKUP(H3,Data,2,FALSE)*SIN(RADIANS(180*(IF(G3&gt;VLOOKUP(H3,Data,8,FALSE),1,IF(G3&gt;VLOOKUP(H3,Data,4,FALSE),(G3-VLOOKUP(H3,Data,4,FALSE))/VLOOKUP(H3,Data,5,FALSE),0)))+180*(IF(G3&gt;VLOOKUP(H3,Data,10,FALSE),1,IF(G3&gt;VLOOKUP(H3,Data,9,FALSE),(G3-VLOOKUP(H3,Data,9,FALSE))/VLOOKUP(H3,Data,7,FALSE),0)))))</f>
        <v>19.999999999999993</v>
      </c>
      <c r="J3" s="1">
        <f t="shared" ref="J3:J26" si="3">-VLOOKUP(H3,Data,2,FALSE)*COS(RADIANS(180*(IF(G3&gt;VLOOKUP(H3,Data,8,FALSE),1,IF(G3&gt;VLOOKUP(H3,Data,4,FALSE),(G3-VLOOKUP(H3,Data,4,FALSE))/VLOOKUP(H3,Data,5,FALSE),0)))+180*(IF(G3&gt;VLOOKUP(H3,Data,10,FALSE),1,IF(G3&gt;VLOOKUP(H3,Data,9,FALSE),(G3-VLOOKUP(H3,Data,9,FALSE))/VLOOKUP(H3,Data,7,FALSE),0)))))</f>
        <v>38.99</v>
      </c>
      <c r="K3" t="str">
        <f>CONCATENATE("R-S-",L$1,"-",M3)</f>
        <v>R-S-3-1</v>
      </c>
      <c r="L3" s="1">
        <f>L2*DIstanceMultiplier+20</f>
        <v>120.004508047092</v>
      </c>
      <c r="M3">
        <v>1</v>
      </c>
      <c r="N3" s="1">
        <f t="shared" ref="N3:N26" si="4">(Straight-(IF(L3&gt;VLOOKUP(M3,Data,4,FALSE),1,L3/VLOOKUP(M3,Data,4,FALSE)))*Straight+(IF(L3&gt;VLOOKUP(M3,Data,9,FALSE),1,IF(L3&gt;VLOOKUP(M3,Data,8,FALSE),(L3-VLOOKUP(M3,Data,8,FALSE))/VLOOKUP(M3,Data,6,FALSE),0)))*Straight)-VLOOKUP(M3,Data,2,FALSE)*SIN(RADIANS(180*(IF(L3&gt;VLOOKUP(M3,Data,8,FALSE),1,IF(L3&gt;VLOOKUP(M3,Data,4,FALSE),(L3-VLOOKUP(M3,Data,4,FALSE))/VLOOKUP(M3,Data,5,FALSE),0)))+180*(IF(L3&gt;VLOOKUP(M3,Data,10,FALSE),1,IF(L3&gt;VLOOKUP(M3,Data,9,FALSE),(L3-VLOOKUP(M3,Data,9,FALSE))/VLOOKUP(M3,Data,7,FALSE),0)))))</f>
        <v>-34.750660304046811</v>
      </c>
      <c r="O3" s="1">
        <f t="shared" ref="O3:O26" si="5">-VLOOKUP(M3,Data,2,FALSE)*COS(RADIANS(180*(IF(L3&gt;VLOOKUP(M3,Data,8,FALSE),1,IF(L3&gt;VLOOKUP(M3,Data,4,FALSE),(L3-VLOOKUP(M3,Data,4,FALSE))/VLOOKUP(M3,Data,5,FALSE),0)))+180*(IF(L3&gt;VLOOKUP(M3,Data,10,FALSE),1,IF(L3&gt;VLOOKUP(M3,Data,9,FALSE),(L3-VLOOKUP(M3,Data,9,FALSE))/VLOOKUP(M3,Data,7,FALSE),0)))))</f>
        <v>-17.680828838964125</v>
      </c>
    </row>
    <row r="4" spans="1:15" x14ac:dyDescent="0.2">
      <c r="A4" t="str">
        <f t="shared" ref="A4:A10" si="6">CONCATENATE("R-S-",B$1,"-",C4)</f>
        <v>R-S-1-2</v>
      </c>
      <c r="B4" s="1">
        <f>B3</f>
        <v>320.01352414127598</v>
      </c>
      <c r="C4">
        <v>2</v>
      </c>
      <c r="D4" s="1">
        <f t="shared" si="0"/>
        <v>110.10586943978981</v>
      </c>
      <c r="E4" s="1">
        <f t="shared" si="1"/>
        <v>22.661644189220642</v>
      </c>
      <c r="F4" t="str">
        <f t="shared" ref="F4:F10" si="7">CONCATENATE("R-S-",G$1,"-",H4)</f>
        <v>R-S-2-2</v>
      </c>
      <c r="G4" s="1">
        <f>G3</f>
        <v>220.00901609418401</v>
      </c>
      <c r="H4">
        <v>2</v>
      </c>
      <c r="I4" s="1">
        <f t="shared" si="2"/>
        <v>16.167256962620453</v>
      </c>
      <c r="J4" s="1">
        <f t="shared" si="3"/>
        <v>40.21</v>
      </c>
      <c r="K4" t="str">
        <f t="shared" ref="K4:K10" si="8">CONCATENATE("R-S-",L$1,"-",M4)</f>
        <v>R-S-3-2</v>
      </c>
      <c r="L4" s="1">
        <f>L3</f>
        <v>120.004508047092</v>
      </c>
      <c r="M4">
        <v>2</v>
      </c>
      <c r="N4" s="1">
        <f t="shared" si="4"/>
        <v>-35.212733341798476</v>
      </c>
      <c r="O4" s="1">
        <f t="shared" si="5"/>
        <v>-19.414105969613793</v>
      </c>
    </row>
    <row r="5" spans="1:15" x14ac:dyDescent="0.2">
      <c r="A5" t="str">
        <f t="shared" si="6"/>
        <v>R-S-1-3</v>
      </c>
      <c r="B5" s="1">
        <f t="shared" ref="B5:B10" si="9">B4</f>
        <v>320.01352414127598</v>
      </c>
      <c r="C5">
        <v>3</v>
      </c>
      <c r="D5" s="1">
        <f t="shared" si="0"/>
        <v>108.0572329557146</v>
      </c>
      <c r="E5" s="1">
        <f t="shared" si="1"/>
        <v>27.295576379410232</v>
      </c>
      <c r="F5" t="str">
        <f t="shared" si="7"/>
        <v>R-S-2-3</v>
      </c>
      <c r="G5" s="1">
        <f t="shared" ref="G5:G10" si="10">G4</f>
        <v>220.00901609418401</v>
      </c>
      <c r="H5">
        <v>3</v>
      </c>
      <c r="I5" s="1">
        <f t="shared" si="2"/>
        <v>12.334513925240909</v>
      </c>
      <c r="J5" s="1">
        <f t="shared" si="3"/>
        <v>41.43</v>
      </c>
      <c r="K5" t="str">
        <f t="shared" si="8"/>
        <v>R-S-3-3</v>
      </c>
      <c r="L5" s="1">
        <f t="shared" ref="L5:L10" si="11">L4</f>
        <v>120.004508047092</v>
      </c>
      <c r="M5">
        <v>3</v>
      </c>
      <c r="N5" s="1">
        <f t="shared" si="4"/>
        <v>-35.638040377981334</v>
      </c>
      <c r="O5" s="1">
        <f t="shared" si="5"/>
        <v>-21.127588078561455</v>
      </c>
    </row>
    <row r="6" spans="1:15" x14ac:dyDescent="0.2">
      <c r="A6" t="str">
        <f t="shared" si="6"/>
        <v>R-S-1-4</v>
      </c>
      <c r="B6" s="1">
        <f t="shared" si="9"/>
        <v>320.01352414127598</v>
      </c>
      <c r="C6">
        <v>4</v>
      </c>
      <c r="D6" s="1">
        <f t="shared" si="0"/>
        <v>105.58016015318935</v>
      </c>
      <c r="E6" s="1">
        <f t="shared" si="1"/>
        <v>31.557839127296809</v>
      </c>
      <c r="F6" t="str">
        <f t="shared" si="7"/>
        <v>R-S-2-4</v>
      </c>
      <c r="G6" s="1">
        <f t="shared" si="10"/>
        <v>220.00901609418401</v>
      </c>
      <c r="H6">
        <v>4</v>
      </c>
      <c r="I6" s="1">
        <f t="shared" si="2"/>
        <v>8.5017708878613636</v>
      </c>
      <c r="J6" s="1">
        <f t="shared" si="3"/>
        <v>42.65</v>
      </c>
      <c r="K6" t="str">
        <f t="shared" si="8"/>
        <v>R-S-3-4</v>
      </c>
      <c r="L6" s="1">
        <f t="shared" si="11"/>
        <v>120.004508047092</v>
      </c>
      <c r="M6">
        <v>4</v>
      </c>
      <c r="N6" s="1">
        <f t="shared" si="4"/>
        <v>-36.030300103031337</v>
      </c>
      <c r="O6" s="1">
        <f t="shared" si="5"/>
        <v>-22.821918729272092</v>
      </c>
    </row>
    <row r="7" spans="1:15" x14ac:dyDescent="0.2">
      <c r="A7" t="str">
        <f t="shared" si="6"/>
        <v>R-S-1-5</v>
      </c>
      <c r="B7" s="1">
        <f t="shared" si="9"/>
        <v>320.01352414127598</v>
      </c>
      <c r="C7">
        <v>5</v>
      </c>
      <c r="D7" s="1">
        <f t="shared" si="0"/>
        <v>102.75141148499223</v>
      </c>
      <c r="E7" s="1">
        <f t="shared" si="1"/>
        <v>35.436764750805224</v>
      </c>
      <c r="F7" t="str">
        <f t="shared" si="7"/>
        <v>R-S-2-5</v>
      </c>
      <c r="G7" s="1">
        <f t="shared" si="10"/>
        <v>220.00901609418401</v>
      </c>
      <c r="H7">
        <v>5</v>
      </c>
      <c r="I7" s="1">
        <f t="shared" si="2"/>
        <v>4.6690278504818199</v>
      </c>
      <c r="J7" s="1">
        <f t="shared" si="3"/>
        <v>43.87</v>
      </c>
      <c r="K7" t="str">
        <f t="shared" si="8"/>
        <v>R-S-3-5</v>
      </c>
      <c r="L7" s="1">
        <f t="shared" si="11"/>
        <v>120.004508047092</v>
      </c>
      <c r="M7">
        <v>5</v>
      </c>
      <c r="N7" s="1">
        <f t="shared" si="4"/>
        <v>-36.392784580453586</v>
      </c>
      <c r="O7" s="1">
        <f t="shared" si="5"/>
        <v>-24.497798482326925</v>
      </c>
    </row>
    <row r="8" spans="1:15" x14ac:dyDescent="0.2">
      <c r="A8" t="str">
        <f t="shared" si="6"/>
        <v>R-S-1-6</v>
      </c>
      <c r="B8" s="1">
        <f t="shared" si="9"/>
        <v>320.01352414127598</v>
      </c>
      <c r="C8">
        <v>6</v>
      </c>
      <c r="D8" s="1">
        <f t="shared" si="0"/>
        <v>99.63903574142131</v>
      </c>
      <c r="E8" s="1">
        <f t="shared" si="1"/>
        <v>38.930572469917976</v>
      </c>
      <c r="F8" t="str">
        <f t="shared" si="7"/>
        <v>R-S-2-6</v>
      </c>
      <c r="G8" s="1">
        <f t="shared" si="10"/>
        <v>220.00901609418401</v>
      </c>
      <c r="H8">
        <v>6</v>
      </c>
      <c r="I8" s="1">
        <f t="shared" si="2"/>
        <v>0.83628481310227598</v>
      </c>
      <c r="J8" s="1">
        <f t="shared" si="3"/>
        <v>45.089999999999996</v>
      </c>
      <c r="K8" t="str">
        <f t="shared" si="8"/>
        <v>R-S-3-6</v>
      </c>
      <c r="L8" s="1">
        <f t="shared" si="11"/>
        <v>120.004508047092</v>
      </c>
      <c r="M8">
        <v>6</v>
      </c>
      <c r="N8" s="1">
        <f t="shared" si="4"/>
        <v>-36.728380088366578</v>
      </c>
      <c r="O8" s="1">
        <f t="shared" si="5"/>
        <v>-26.1559590931871</v>
      </c>
    </row>
    <row r="9" spans="1:15" x14ac:dyDescent="0.2">
      <c r="A9" t="str">
        <f t="shared" si="6"/>
        <v>R-S-1-7</v>
      </c>
      <c r="B9" s="1">
        <f t="shared" si="9"/>
        <v>320.01352414127598</v>
      </c>
      <c r="C9">
        <v>7</v>
      </c>
      <c r="D9" s="1">
        <f t="shared" si="0"/>
        <v>96.302699184826693</v>
      </c>
      <c r="E9" s="1">
        <f t="shared" si="1"/>
        <v>42.044776255314147</v>
      </c>
      <c r="F9" t="str">
        <f t="shared" si="7"/>
        <v>R-S-2-7</v>
      </c>
      <c r="G9" s="1">
        <f t="shared" si="10"/>
        <v>220.00901609418401</v>
      </c>
      <c r="H9">
        <v>7</v>
      </c>
      <c r="I9" s="1">
        <f t="shared" si="2"/>
        <v>-2.9815094336137671</v>
      </c>
      <c r="J9" s="1">
        <f t="shared" si="3"/>
        <v>46.213923242863416</v>
      </c>
      <c r="K9" t="str">
        <f t="shared" si="8"/>
        <v>R-S-3-7</v>
      </c>
      <c r="L9" s="1">
        <f t="shared" si="11"/>
        <v>120.004508047092</v>
      </c>
      <c r="M9">
        <v>7</v>
      </c>
      <c r="N9" s="1">
        <f t="shared" si="4"/>
        <v>-37.039638900227978</v>
      </c>
      <c r="O9" s="1">
        <f t="shared" si="5"/>
        <v>-27.797144640065426</v>
      </c>
    </row>
    <row r="10" spans="1:15" x14ac:dyDescent="0.2">
      <c r="A10" t="str">
        <f t="shared" si="6"/>
        <v>R-S-1-8</v>
      </c>
      <c r="B10" s="1">
        <f t="shared" si="9"/>
        <v>320.01352414127598</v>
      </c>
      <c r="C10">
        <v>8</v>
      </c>
      <c r="D10" s="1">
        <f t="shared" si="0"/>
        <v>92.794242227277053</v>
      </c>
      <c r="E10" s="1">
        <f t="shared" si="1"/>
        <v>44.790132609494435</v>
      </c>
      <c r="F10" t="str">
        <f t="shared" si="7"/>
        <v>R-S-2-8</v>
      </c>
      <c r="G10" s="1">
        <f t="shared" si="10"/>
        <v>220.00901609418401</v>
      </c>
      <c r="H10">
        <v>8</v>
      </c>
      <c r="I10" s="1">
        <f t="shared" si="2"/>
        <v>-6.7774056110842142</v>
      </c>
      <c r="J10" s="1">
        <f t="shared" si="3"/>
        <v>47.044316056064027</v>
      </c>
      <c r="K10" t="str">
        <f t="shared" si="8"/>
        <v>R-S-3-8</v>
      </c>
      <c r="L10" s="1">
        <f t="shared" si="11"/>
        <v>120.004508047092</v>
      </c>
      <c r="M10">
        <v>8</v>
      </c>
      <c r="N10" s="1">
        <f t="shared" si="4"/>
        <v>-37.32882342666214</v>
      </c>
      <c r="O10" s="1">
        <f t="shared" si="5"/>
        <v>-29.422097844665654</v>
      </c>
    </row>
    <row r="11" spans="1:15" x14ac:dyDescent="0.2">
      <c r="A11" t="str">
        <f>CONCATENATE("R-M-",B$1,"-",C11)</f>
        <v>R-M-1-1</v>
      </c>
      <c r="B11" s="1">
        <f>B2*DIstanceMultiplier</f>
        <v>300.01352414127598</v>
      </c>
      <c r="C11">
        <v>1</v>
      </c>
      <c r="D11" s="1">
        <f t="shared" si="0"/>
        <v>98.576239608110257</v>
      </c>
      <c r="E11" s="1">
        <f t="shared" si="1"/>
        <v>32.402578781011094</v>
      </c>
      <c r="F11" t="str">
        <f>CONCATENATE("R-M-",G$1,"-",H11)</f>
        <v>R-M-2-1</v>
      </c>
      <c r="G11" s="1">
        <f>G2*DIstanceMultiplier</f>
        <v>200.00901609418401</v>
      </c>
      <c r="H11">
        <v>1</v>
      </c>
      <c r="I11" s="1">
        <f t="shared" si="2"/>
        <v>-4.7748978698755303E-15</v>
      </c>
      <c r="J11" s="1">
        <f t="shared" si="3"/>
        <v>38.99</v>
      </c>
      <c r="K11" t="str">
        <f>CONCATENATE("R-M-",L$1,"-",M11)</f>
        <v>R-M-3-1</v>
      </c>
      <c r="L11" s="1">
        <f>L2*DIstanceMultiplier</f>
        <v>100.004508047092</v>
      </c>
      <c r="M11">
        <v>1</v>
      </c>
      <c r="N11" s="1">
        <f t="shared" si="4"/>
        <v>-21.686239608110263</v>
      </c>
      <c r="O11" s="1">
        <f t="shared" si="5"/>
        <v>-32.402578781011087</v>
      </c>
    </row>
    <row r="12" spans="1:15" x14ac:dyDescent="0.2">
      <c r="A12" t="str">
        <f t="shared" ref="A12:A18" si="12">CONCATENATE("R-M-",B$1,"-",C12)</f>
        <v>R-M-1-2</v>
      </c>
      <c r="B12" s="1">
        <f>B11</f>
        <v>300.01352414127598</v>
      </c>
      <c r="C12">
        <v>2</v>
      </c>
      <c r="D12" s="1">
        <f t="shared" si="0"/>
        <v>95.356535099252511</v>
      </c>
      <c r="E12" s="1">
        <f t="shared" si="1"/>
        <v>35.718779114466876</v>
      </c>
      <c r="F12" t="str">
        <f t="shared" ref="F12:F18" si="13">CONCATENATE("R-M-",G$1,"-",H12)</f>
        <v>R-M-2-2</v>
      </c>
      <c r="G12" s="1">
        <f>G11</f>
        <v>200.00901609418401</v>
      </c>
      <c r="H12">
        <v>2</v>
      </c>
      <c r="I12" s="1">
        <f t="shared" si="2"/>
        <v>-3.8080583124796639</v>
      </c>
      <c r="J12" s="1">
        <f t="shared" si="3"/>
        <v>40.029274186384576</v>
      </c>
      <c r="K12" t="str">
        <f t="shared" ref="K12:K18" si="14">CONCATENATE("R-M-",L$1,"-",M12)</f>
        <v>R-M-3-2</v>
      </c>
      <c r="L12" s="1">
        <f>L11</f>
        <v>100.004508047092</v>
      </c>
      <c r="M12">
        <v>2</v>
      </c>
      <c r="N12" s="1">
        <f t="shared" si="4"/>
        <v>-21.766256913179433</v>
      </c>
      <c r="O12" s="1">
        <f t="shared" si="5"/>
        <v>-33.809379763454238</v>
      </c>
    </row>
    <row r="13" spans="1:15" x14ac:dyDescent="0.2">
      <c r="A13" t="str">
        <f t="shared" si="12"/>
        <v>R-M-1-3</v>
      </c>
      <c r="B13" s="1">
        <f t="shared" ref="B13:B18" si="15">B12</f>
        <v>300.01352414127598</v>
      </c>
      <c r="C13">
        <v>3</v>
      </c>
      <c r="D13" s="1">
        <f t="shared" si="0"/>
        <v>91.914326843467833</v>
      </c>
      <c r="E13" s="1">
        <f t="shared" si="1"/>
        <v>38.609772116663052</v>
      </c>
      <c r="F13" t="str">
        <f t="shared" si="13"/>
        <v>R-M-2-3</v>
      </c>
      <c r="G13" s="1">
        <f t="shared" ref="G13:G18" si="16">G12</f>
        <v>200.00901609418401</v>
      </c>
      <c r="H13">
        <v>3</v>
      </c>
      <c r="I13" s="1">
        <f t="shared" si="2"/>
        <v>-7.5856237922469374</v>
      </c>
      <c r="J13" s="1">
        <f t="shared" si="3"/>
        <v>40.729635545662539</v>
      </c>
      <c r="K13" t="str">
        <f t="shared" si="14"/>
        <v>R-M-3-3</v>
      </c>
      <c r="L13" s="1">
        <f t="shared" ref="L13:L18" si="17">L12</f>
        <v>100.004508047092</v>
      </c>
      <c r="M13">
        <v>3</v>
      </c>
      <c r="N13" s="1">
        <f t="shared" si="4"/>
        <v>-21.839598422272562</v>
      </c>
      <c r="O13" s="1">
        <f t="shared" si="5"/>
        <v>-35.20620457751545</v>
      </c>
    </row>
    <row r="14" spans="1:15" x14ac:dyDescent="0.2">
      <c r="A14" t="str">
        <f t="shared" si="12"/>
        <v>R-M-1-4</v>
      </c>
      <c r="B14" s="1">
        <f t="shared" si="15"/>
        <v>300.01352414127598</v>
      </c>
      <c r="C14">
        <v>4</v>
      </c>
      <c r="D14" s="1">
        <f t="shared" si="0"/>
        <v>88.310962735096851</v>
      </c>
      <c r="E14" s="1">
        <f t="shared" si="1"/>
        <v>41.092385063458273</v>
      </c>
      <c r="F14" t="str">
        <f t="shared" si="13"/>
        <v>R-M-2-4</v>
      </c>
      <c r="G14" s="1">
        <f t="shared" si="16"/>
        <v>200.00901609418401</v>
      </c>
      <c r="H14">
        <v>4</v>
      </c>
      <c r="I14" s="1">
        <f t="shared" si="2"/>
        <v>-11.307711864332953</v>
      </c>
      <c r="J14" s="1">
        <f t="shared" si="3"/>
        <v>41.123693321408084</v>
      </c>
      <c r="K14" t="str">
        <f t="shared" si="14"/>
        <v>R-M-3-4</v>
      </c>
      <c r="L14" s="1">
        <f t="shared" si="17"/>
        <v>100.004508047092</v>
      </c>
      <c r="M14">
        <v>4</v>
      </c>
      <c r="N14" s="1">
        <f t="shared" si="4"/>
        <v>-21.906987551445685</v>
      </c>
      <c r="O14" s="1">
        <f t="shared" si="5"/>
        <v>-36.59380270511393</v>
      </c>
    </row>
    <row r="15" spans="1:15" x14ac:dyDescent="0.2">
      <c r="A15" t="str">
        <f t="shared" si="12"/>
        <v>R-M-1-5</v>
      </c>
      <c r="B15" s="1">
        <f t="shared" si="15"/>
        <v>300.01352414127598</v>
      </c>
      <c r="C15">
        <v>5</v>
      </c>
      <c r="D15" s="1">
        <f t="shared" si="0"/>
        <v>84.597992517387055</v>
      </c>
      <c r="E15" s="1">
        <f t="shared" si="1"/>
        <v>43.18754162199911</v>
      </c>
      <c r="F15" t="str">
        <f t="shared" si="13"/>
        <v>R-M-2-5</v>
      </c>
      <c r="G15" s="1">
        <f t="shared" si="16"/>
        <v>200.00901609418401</v>
      </c>
      <c r="H15">
        <v>5</v>
      </c>
      <c r="I15" s="1">
        <f t="shared" si="2"/>
        <v>-14.955434209628235</v>
      </c>
      <c r="J15" s="1">
        <f t="shared" si="3"/>
        <v>41.242113035118379</v>
      </c>
      <c r="K15" t="str">
        <f t="shared" si="14"/>
        <v>R-M-3-5</v>
      </c>
      <c r="L15" s="1">
        <f t="shared" si="17"/>
        <v>100.004508047092</v>
      </c>
      <c r="M15">
        <v>5</v>
      </c>
      <c r="N15" s="1">
        <f t="shared" si="4"/>
        <v>-21.969052566202699</v>
      </c>
      <c r="O15" s="1">
        <f t="shared" si="5"/>
        <v>-37.972853847761066</v>
      </c>
    </row>
    <row r="16" spans="1:15" x14ac:dyDescent="0.2">
      <c r="A16" t="str">
        <f t="shared" si="12"/>
        <v>R-M-1-6</v>
      </c>
      <c r="B16" s="1">
        <f t="shared" si="15"/>
        <v>300.01352414127598</v>
      </c>
      <c r="C16">
        <v>6</v>
      </c>
      <c r="D16" s="1">
        <f t="shared" si="0"/>
        <v>80.818359557017502</v>
      </c>
      <c r="E16" s="1">
        <f t="shared" si="1"/>
        <v>44.918549522338637</v>
      </c>
      <c r="F16" t="str">
        <f t="shared" si="13"/>
        <v>R-M-2-6</v>
      </c>
      <c r="G16" s="1">
        <f t="shared" si="16"/>
        <v>200.00901609418401</v>
      </c>
      <c r="H16">
        <v>6</v>
      </c>
      <c r="I16" s="1">
        <f t="shared" si="2"/>
        <v>-18.514837313612375</v>
      </c>
      <c r="J16" s="1">
        <f t="shared" si="3"/>
        <v>41.113366430523136</v>
      </c>
      <c r="K16" t="str">
        <f t="shared" si="14"/>
        <v>R-M-3-6</v>
      </c>
      <c r="L16" s="1">
        <f t="shared" si="17"/>
        <v>100.004508047092</v>
      </c>
      <c r="M16">
        <v>6</v>
      </c>
      <c r="N16" s="1">
        <f t="shared" si="4"/>
        <v>-22.02634115564533</v>
      </c>
      <c r="O16" s="1">
        <f t="shared" si="5"/>
        <v>-39.343975336703387</v>
      </c>
    </row>
    <row r="17" spans="1:15" x14ac:dyDescent="0.2">
      <c r="A17" t="str">
        <f t="shared" si="12"/>
        <v>R-M-1-7</v>
      </c>
      <c r="B17" s="1">
        <f t="shared" si="15"/>
        <v>300.01352414127598</v>
      </c>
      <c r="C17">
        <v>7</v>
      </c>
      <c r="D17" s="1">
        <f t="shared" si="0"/>
        <v>77.007542064603385</v>
      </c>
      <c r="E17" s="1">
        <f t="shared" si="1"/>
        <v>46.309850829635032</v>
      </c>
      <c r="F17" t="str">
        <f t="shared" si="13"/>
        <v>R-M-2-7</v>
      </c>
      <c r="G17" s="1">
        <f t="shared" si="16"/>
        <v>200.00901609418401</v>
      </c>
      <c r="H17">
        <v>7</v>
      </c>
      <c r="I17" s="1">
        <f t="shared" si="2"/>
        <v>-21.975938739861952</v>
      </c>
      <c r="J17" s="1">
        <f t="shared" si="3"/>
        <v>40.763638410988712</v>
      </c>
      <c r="K17" t="str">
        <f t="shared" si="14"/>
        <v>R-M-3-7</v>
      </c>
      <c r="L17" s="1">
        <f t="shared" si="17"/>
        <v>100.004508047092</v>
      </c>
      <c r="M17">
        <v>7</v>
      </c>
      <c r="N17" s="1">
        <f t="shared" si="4"/>
        <v>-22.079332479027823</v>
      </c>
      <c r="O17" s="1">
        <f t="shared" si="5"/>
        <v>-40.707728716799551</v>
      </c>
    </row>
    <row r="18" spans="1:15" x14ac:dyDescent="0.2">
      <c r="A18" t="str">
        <f t="shared" si="12"/>
        <v>R-M-1-8</v>
      </c>
      <c r="B18" s="1">
        <f t="shared" si="15"/>
        <v>300.01352414127598</v>
      </c>
      <c r="C18">
        <v>8</v>
      </c>
      <c r="D18" s="1">
        <f t="shared" si="0"/>
        <v>73.175306785435168</v>
      </c>
      <c r="E18" s="1">
        <f t="shared" si="1"/>
        <v>47.529999999999994</v>
      </c>
      <c r="F18" t="str">
        <f t="shared" si="13"/>
        <v>R-M-2-8</v>
      </c>
      <c r="G18" s="1">
        <f t="shared" si="16"/>
        <v>200.00901609418401</v>
      </c>
      <c r="H18">
        <v>8</v>
      </c>
      <c r="I18" s="1">
        <f t="shared" si="2"/>
        <v>-25.33193310499458</v>
      </c>
      <c r="J18" s="1">
        <f t="shared" si="3"/>
        <v>40.216838080138508</v>
      </c>
      <c r="K18" t="str">
        <f t="shared" si="14"/>
        <v>R-M-3-8</v>
      </c>
      <c r="L18" s="1">
        <f t="shared" si="17"/>
        <v>100.004508047092</v>
      </c>
      <c r="M18">
        <v>8</v>
      </c>
      <c r="N18" s="1">
        <f t="shared" si="4"/>
        <v>-22.128447171071219</v>
      </c>
      <c r="O18" s="1">
        <f t="shared" si="5"/>
        <v>-42.064625587268807</v>
      </c>
    </row>
    <row r="19" spans="1:15" x14ac:dyDescent="0.2">
      <c r="A19" t="str">
        <f>CONCATENATE("R-E-",B$1,"-",C19)</f>
        <v>R-E-1-1</v>
      </c>
      <c r="B19" s="1">
        <f>B2*DIstanceMultiplier-10</f>
        <v>290.01352414127598</v>
      </c>
      <c r="C19">
        <v>1</v>
      </c>
      <c r="D19" s="1">
        <f t="shared" si="0"/>
        <v>89.695421452194694</v>
      </c>
      <c r="E19" s="1">
        <f t="shared" si="1"/>
        <v>36.827181285453712</v>
      </c>
      <c r="F19" t="str">
        <f>CONCATENATE("R-E-",G$1,"-",H19)</f>
        <v>R-E-2-1</v>
      </c>
      <c r="G19" s="1">
        <f>G2*DIstanceMultiplier-10</f>
        <v>190.00901609418401</v>
      </c>
      <c r="H19">
        <v>1</v>
      </c>
      <c r="I19" s="1">
        <f t="shared" si="2"/>
        <v>-9.8413541938670139</v>
      </c>
      <c r="J19" s="1">
        <f t="shared" si="3"/>
        <v>37.727547596297008</v>
      </c>
      <c r="K19" t="str">
        <f>CONCATENATE("R-E-",L$1,"-",M19)</f>
        <v>R-E-3-1</v>
      </c>
      <c r="L19" s="1">
        <f>L2*DIstanceMultiplier-10</f>
        <v>90.004508047092003</v>
      </c>
      <c r="M19">
        <v>1</v>
      </c>
      <c r="N19" s="1">
        <f t="shared" si="4"/>
        <v>-12.805421452194713</v>
      </c>
      <c r="O19" s="1">
        <f t="shared" si="5"/>
        <v>-36.827181285453705</v>
      </c>
    </row>
    <row r="20" spans="1:15" x14ac:dyDescent="0.2">
      <c r="A20" t="str">
        <f t="shared" ref="A20:A26" si="18">CONCATENATE("R-E-",B$1,"-",C20)</f>
        <v>R-E-1-2</v>
      </c>
      <c r="B20" s="1">
        <f>B19</f>
        <v>290.01352414127598</v>
      </c>
      <c r="C20">
        <v>2</v>
      </c>
      <c r="D20" s="1">
        <f t="shared" si="0"/>
        <v>86.044831287051025</v>
      </c>
      <c r="E20" s="1">
        <f t="shared" si="1"/>
        <v>39.153967412072454</v>
      </c>
      <c r="F20" t="str">
        <f t="shared" ref="F20:F26" si="19">CONCATENATE("R-E-",G$1,"-",H20)</f>
        <v>R-E-2-2</v>
      </c>
      <c r="G20" s="1">
        <f>G19</f>
        <v>190.00901609418401</v>
      </c>
      <c r="H20">
        <v>2</v>
      </c>
      <c r="I20" s="1">
        <f t="shared" si="2"/>
        <v>-13.497044173269423</v>
      </c>
      <c r="J20" s="1">
        <f t="shared" si="3"/>
        <v>37.877089362632049</v>
      </c>
      <c r="K20" t="str">
        <f t="shared" ref="K20:K26" si="20">CONCATENATE("R-E-",L$1,"-",M20)</f>
        <v>R-E-3-2</v>
      </c>
      <c r="L20" s="1">
        <f>L19</f>
        <v>90.004508047092003</v>
      </c>
      <c r="M20">
        <v>2</v>
      </c>
      <c r="N20" s="1">
        <f t="shared" si="4"/>
        <v>-12.821731976860448</v>
      </c>
      <c r="O20" s="1">
        <f t="shared" si="5"/>
        <v>-38.110986462089308</v>
      </c>
    </row>
    <row r="21" spans="1:15" x14ac:dyDescent="0.2">
      <c r="A21" t="str">
        <f t="shared" si="18"/>
        <v>R-E-1-3</v>
      </c>
      <c r="B21" s="1">
        <f t="shared" ref="B21:B26" si="21">B20</f>
        <v>290.01352414127598</v>
      </c>
      <c r="C21">
        <v>3</v>
      </c>
      <c r="D21" s="1">
        <f t="shared" si="0"/>
        <v>82.297372284254024</v>
      </c>
      <c r="E21" s="1">
        <f t="shared" si="1"/>
        <v>41.075603768897679</v>
      </c>
      <c r="F21" t="str">
        <f t="shared" si="19"/>
        <v>R-E-2-3</v>
      </c>
      <c r="G21" s="1">
        <f t="shared" ref="G21:G26" si="22">G20</f>
        <v>190.00901609418401</v>
      </c>
      <c r="H21">
        <v>3</v>
      </c>
      <c r="I21" s="1">
        <f t="shared" si="2"/>
        <v>-17.057727163863781</v>
      </c>
      <c r="J21" s="1">
        <f t="shared" si="3"/>
        <v>37.755514087391042</v>
      </c>
      <c r="K21" t="str">
        <f t="shared" si="20"/>
        <v>R-E-3-3</v>
      </c>
      <c r="L21" s="1">
        <f t="shared" ref="L21:L26" si="23">L20</f>
        <v>90.004508047092003</v>
      </c>
      <c r="M21">
        <v>3</v>
      </c>
      <c r="N21" s="1">
        <f t="shared" si="4"/>
        <v>-12.836697553165397</v>
      </c>
      <c r="O21" s="1">
        <f t="shared" si="5"/>
        <v>-39.391167740098254</v>
      </c>
    </row>
    <row r="22" spans="1:15" x14ac:dyDescent="0.2">
      <c r="A22" t="str">
        <f t="shared" si="18"/>
        <v>R-E-1-4</v>
      </c>
      <c r="B22" s="1">
        <f t="shared" si="21"/>
        <v>290.01352414127598</v>
      </c>
      <c r="C22">
        <v>4</v>
      </c>
      <c r="D22" s="1">
        <f t="shared" si="0"/>
        <v>78.498353596358044</v>
      </c>
      <c r="E22" s="1">
        <f t="shared" si="1"/>
        <v>42.619663287138742</v>
      </c>
      <c r="F22" t="str">
        <f t="shared" si="19"/>
        <v>R-E-2-4</v>
      </c>
      <c r="G22" s="1">
        <f t="shared" si="22"/>
        <v>190.00901609418401</v>
      </c>
      <c r="H22">
        <v>4</v>
      </c>
      <c r="I22" s="1">
        <f t="shared" si="2"/>
        <v>-20.511433971699137</v>
      </c>
      <c r="J22" s="1">
        <f t="shared" si="3"/>
        <v>37.393897582688894</v>
      </c>
      <c r="K22" t="str">
        <f t="shared" si="20"/>
        <v>R-E-3-4</v>
      </c>
      <c r="L22" s="1">
        <f t="shared" si="23"/>
        <v>90.004508047092003</v>
      </c>
      <c r="M22">
        <v>4</v>
      </c>
      <c r="N22" s="1">
        <f t="shared" si="4"/>
        <v>-12.850464531180926</v>
      </c>
      <c r="O22" s="1">
        <f t="shared" si="5"/>
        <v>-40.668022589411216</v>
      </c>
    </row>
    <row r="23" spans="1:15" x14ac:dyDescent="0.2">
      <c r="A23" t="str">
        <f t="shared" si="18"/>
        <v>R-E-1-5</v>
      </c>
      <c r="B23" s="1">
        <f t="shared" si="21"/>
        <v>290.01352414127598</v>
      </c>
      <c r="C23">
        <v>5</v>
      </c>
      <c r="D23" s="1">
        <f t="shared" si="0"/>
        <v>74.6735358975738</v>
      </c>
      <c r="E23" s="1">
        <f t="shared" si="1"/>
        <v>43.87</v>
      </c>
      <c r="F23" t="str">
        <f t="shared" si="19"/>
        <v>R-E-2-5</v>
      </c>
      <c r="G23" s="1">
        <f t="shared" si="22"/>
        <v>190.00901609418401</v>
      </c>
      <c r="H23">
        <v>5</v>
      </c>
      <c r="I23" s="1">
        <f t="shared" si="2"/>
        <v>-23.85028117218069</v>
      </c>
      <c r="J23" s="1">
        <f t="shared" si="3"/>
        <v>36.820388210988803</v>
      </c>
      <c r="K23" t="str">
        <f t="shared" si="20"/>
        <v>R-E-3-5</v>
      </c>
      <c r="L23" s="1">
        <f t="shared" si="23"/>
        <v>90.004508047092003</v>
      </c>
      <c r="M23">
        <v>5</v>
      </c>
      <c r="N23" s="1">
        <f t="shared" si="4"/>
        <v>-12.863159766081568</v>
      </c>
      <c r="O23" s="1">
        <f t="shared" si="5"/>
        <v>-41.941817090253259</v>
      </c>
    </row>
    <row r="24" spans="1:15" x14ac:dyDescent="0.2">
      <c r="A24" t="str">
        <f t="shared" si="18"/>
        <v>R-E-1-6</v>
      </c>
      <c r="B24" s="1">
        <f t="shared" si="21"/>
        <v>290.01352414127598</v>
      </c>
      <c r="C24">
        <v>6</v>
      </c>
      <c r="D24" s="1">
        <f t="shared" si="0"/>
        <v>70.840792860194256</v>
      </c>
      <c r="E24" s="1">
        <f t="shared" si="1"/>
        <v>45.089999999999996</v>
      </c>
      <c r="F24" t="str">
        <f t="shared" si="19"/>
        <v>R-E-2-6</v>
      </c>
      <c r="G24" s="1">
        <f t="shared" si="22"/>
        <v>190.00901609418401</v>
      </c>
      <c r="H24">
        <v>6</v>
      </c>
      <c r="I24" s="1">
        <f t="shared" si="2"/>
        <v>-27.069568388811131</v>
      </c>
      <c r="J24" s="1">
        <f t="shared" si="3"/>
        <v>36.060318457321983</v>
      </c>
      <c r="K24" t="str">
        <f t="shared" si="20"/>
        <v>R-E-3-6</v>
      </c>
      <c r="L24" s="1">
        <f t="shared" si="23"/>
        <v>90.004508047092003</v>
      </c>
      <c r="M24">
        <v>6</v>
      </c>
      <c r="N24" s="1">
        <f t="shared" si="4"/>
        <v>-12.874893660407366</v>
      </c>
      <c r="O24" s="1">
        <f t="shared" si="5"/>
        <v>-43.212789926515995</v>
      </c>
    </row>
    <row r="25" spans="1:15" x14ac:dyDescent="0.2">
      <c r="A25" t="str">
        <f t="shared" si="18"/>
        <v>R-E-1-7</v>
      </c>
      <c r="B25" s="1">
        <f t="shared" si="21"/>
        <v>290.01352414127598</v>
      </c>
      <c r="C25">
        <v>7</v>
      </c>
      <c r="D25" s="1">
        <f t="shared" si="0"/>
        <v>67.008049822814712</v>
      </c>
      <c r="E25" s="1">
        <f t="shared" si="1"/>
        <v>46.309999999999995</v>
      </c>
      <c r="F25" t="str">
        <f t="shared" si="19"/>
        <v>R-E-2-7</v>
      </c>
      <c r="G25" s="1">
        <f t="shared" si="22"/>
        <v>190.00901609418401</v>
      </c>
      <c r="H25">
        <v>7</v>
      </c>
      <c r="I25" s="1">
        <f t="shared" si="2"/>
        <v>-30.167055223882393</v>
      </c>
      <c r="J25" s="1">
        <f t="shared" si="3"/>
        <v>35.136375440833817</v>
      </c>
      <c r="K25" t="str">
        <f t="shared" si="20"/>
        <v>R-E-3-7</v>
      </c>
      <c r="L25" s="1">
        <f t="shared" si="23"/>
        <v>90.004508047092003</v>
      </c>
      <c r="M25">
        <v>7</v>
      </c>
      <c r="N25" s="1">
        <f t="shared" si="4"/>
        <v>-12.885762666111875</v>
      </c>
      <c r="O25" s="1">
        <f t="shared" si="5"/>
        <v>-44.481155791105934</v>
      </c>
    </row>
    <row r="26" spans="1:15" x14ac:dyDescent="0.2">
      <c r="A26" t="str">
        <f t="shared" si="18"/>
        <v>R-E-1-8</v>
      </c>
      <c r="B26" s="1">
        <f t="shared" si="21"/>
        <v>290.01352414127598</v>
      </c>
      <c r="C26">
        <v>8</v>
      </c>
      <c r="D26" s="1">
        <f t="shared" si="0"/>
        <v>63.175306785435161</v>
      </c>
      <c r="E26" s="1">
        <f t="shared" si="1"/>
        <v>47.529999999999994</v>
      </c>
      <c r="F26" t="str">
        <f t="shared" si="19"/>
        <v>R-E-2-8</v>
      </c>
      <c r="G26" s="1">
        <f t="shared" si="22"/>
        <v>190.00901609418401</v>
      </c>
      <c r="H26">
        <v>8</v>
      </c>
      <c r="I26" s="1">
        <f t="shared" si="2"/>
        <v>-33.142384580201252</v>
      </c>
      <c r="J26" s="1">
        <f t="shared" si="3"/>
        <v>34.068801627560042</v>
      </c>
      <c r="K26" t="str">
        <f t="shared" si="20"/>
        <v>R-E-3-8</v>
      </c>
      <c r="L26" s="1">
        <f t="shared" si="23"/>
        <v>90.004508047092003</v>
      </c>
      <c r="M26">
        <v>8</v>
      </c>
      <c r="N26" s="1">
        <f t="shared" si="4"/>
        <v>-12.895851353303028</v>
      </c>
      <c r="O26" s="1">
        <f t="shared" si="5"/>
        <v>-45.747108300673084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5532-5462-CE41-8228-E978E11B2FFE}">
  <dimension ref="A1:L82"/>
  <sheetViews>
    <sheetView topLeftCell="A51" workbookViewId="0">
      <selection activeCell="B27" sqref="B27"/>
    </sheetView>
  </sheetViews>
  <sheetFormatPr baseColWidth="10" defaultRowHeight="16" x14ac:dyDescent="0.2"/>
  <sheetData>
    <row r="1" spans="1:12" x14ac:dyDescent="0.2">
      <c r="A1" t="s">
        <v>32</v>
      </c>
      <c r="F1" s="1"/>
      <c r="G1" s="1"/>
    </row>
    <row r="2" spans="1:12" x14ac:dyDescent="0.2">
      <c r="A2" t="s">
        <v>6</v>
      </c>
      <c r="B2" t="s">
        <v>13</v>
      </c>
      <c r="C2" t="s">
        <v>33</v>
      </c>
      <c r="D2" s="1"/>
      <c r="E2" s="2" t="s">
        <v>14</v>
      </c>
      <c r="F2" s="3" t="s">
        <v>0</v>
      </c>
      <c r="G2" s="3" t="s">
        <v>1</v>
      </c>
    </row>
    <row r="3" spans="1:12" x14ac:dyDescent="0.2">
      <c r="A3" t="str">
        <f>CONCATENATE("H-",C3,"-",E3)</f>
        <v>H-1-1</v>
      </c>
      <c r="B3">
        <v>355</v>
      </c>
      <c r="C3">
        <v>1</v>
      </c>
      <c r="D3" s="1">
        <f t="shared" ref="D3:D50" si="0">B3*DIstanceMultiplier</f>
        <v>355.0160035671766</v>
      </c>
      <c r="E3">
        <v>1</v>
      </c>
      <c r="F3" s="1">
        <f t="shared" ref="F3:F50" si="1">(Straight-(IF(D3&gt;VLOOKUP(E3,Data,4,FALSE),1,D3/VLOOKUP(E3,Data,4,FALSE)))*Straight+(IF(D3&gt;VLOOKUP(E3,Data,9,FALSE),1,IF(D3&gt;VLOOKUP(E3,Data,8,FALSE),(D3-VLOOKUP(E3,Data,8,FALSE))/VLOOKUP(E3,Data,6,FALSE),0)))*Straight)-VLOOKUP(E3,Data,2,FALSE)*SIN(RADIANS(180*(IF(D3&gt;VLOOKUP(E3,Data,8,FALSE),1,IF(D3&gt;VLOOKUP(E3,Data,4,FALSE),(D3-VLOOKUP(E3,Data,4,FALSE))/VLOOKUP(E3,Data,5,FALSE),0)))+180*(IF(D3&gt;VLOOKUP(E3,Data,10,FALSE),1,IF(D3&gt;VLOOKUP(E3,Data,9,FALSE),(D3-VLOOKUP(E3,Data,9,FALSE))/VLOOKUP(E3,Data,7,FALSE),0)))))</f>
        <v>112.45160069813464</v>
      </c>
      <c r="G3" s="1">
        <f t="shared" ref="G3:G50" si="2">-VLOOKUP(E3,Data,2,FALSE)*COS(RADIANS(180*(IF(D3&gt;VLOOKUP(E3,Data,8,FALSE),1,IF(D3&gt;VLOOKUP(E3,Data,4,FALSE),(D3-VLOOKUP(E3,Data,4,FALSE))/VLOOKUP(E3,Data,5,FALSE),0)))+180*(IF(D3&gt;VLOOKUP(E3,Data,10,FALSE),1,IF(D3&gt;VLOOKUP(E3,Data,9,FALSE),(D3-VLOOKUP(E3,Data,9,FALSE))/VLOOKUP(E3,Data,7,FALSE),0)))))</f>
        <v>-15.987265425532607</v>
      </c>
      <c r="K3">
        <v>0</v>
      </c>
      <c r="L3">
        <v>400</v>
      </c>
    </row>
    <row r="4" spans="1:12" x14ac:dyDescent="0.2">
      <c r="A4" t="str">
        <f t="shared" ref="A4:A26" si="3">CONCATENATE("H-",C4,"-",E4)</f>
        <v>H-1-2</v>
      </c>
      <c r="B4">
        <f>B3</f>
        <v>355</v>
      </c>
      <c r="C4">
        <f>C3</f>
        <v>1</v>
      </c>
      <c r="D4" s="1">
        <f t="shared" si="0"/>
        <v>355.0160035671766</v>
      </c>
      <c r="E4">
        <v>2</v>
      </c>
      <c r="F4" s="1">
        <f t="shared" si="1"/>
        <v>115.67026434970229</v>
      </c>
      <c r="G4" s="1">
        <f t="shared" si="2"/>
        <v>-10.627097297343671</v>
      </c>
      <c r="K4">
        <v>1</v>
      </c>
      <c r="L4">
        <f>L3-45</f>
        <v>355</v>
      </c>
    </row>
    <row r="5" spans="1:12" x14ac:dyDescent="0.2">
      <c r="A5" t="str">
        <f t="shared" si="3"/>
        <v>H-1-3</v>
      </c>
      <c r="B5">
        <f t="shared" ref="B5:B10" si="4">B4</f>
        <v>355</v>
      </c>
      <c r="C5">
        <f t="shared" ref="C5:C10" si="5">C4</f>
        <v>1</v>
      </c>
      <c r="D5" s="1">
        <f t="shared" si="0"/>
        <v>355.0160035671766</v>
      </c>
      <c r="E5">
        <v>3</v>
      </c>
      <c r="F5" s="1">
        <f t="shared" si="1"/>
        <v>118.01443059654743</v>
      </c>
      <c r="G5" s="1">
        <f t="shared" si="2"/>
        <v>-5.0225599159944521</v>
      </c>
      <c r="K5">
        <v>2</v>
      </c>
      <c r="L5">
        <f>L4-35</f>
        <v>320</v>
      </c>
    </row>
    <row r="6" spans="1:12" x14ac:dyDescent="0.2">
      <c r="A6" t="str">
        <f t="shared" si="3"/>
        <v>H-1-4</v>
      </c>
      <c r="B6">
        <f t="shared" si="4"/>
        <v>355</v>
      </c>
      <c r="C6">
        <f t="shared" si="5"/>
        <v>1</v>
      </c>
      <c r="D6" s="1">
        <f t="shared" si="0"/>
        <v>355.0160035671766</v>
      </c>
      <c r="E6">
        <v>4</v>
      </c>
      <c r="F6" s="1">
        <f t="shared" si="1"/>
        <v>119.53447279877051</v>
      </c>
      <c r="G6" s="1">
        <f t="shared" si="2"/>
        <v>0.68661467718237112</v>
      </c>
      <c r="K6">
        <v>3</v>
      </c>
      <c r="L6">
        <f>L5-35</f>
        <v>285</v>
      </c>
    </row>
    <row r="7" spans="1:12" x14ac:dyDescent="0.2">
      <c r="A7" t="str">
        <f t="shared" si="3"/>
        <v>H-1-5</v>
      </c>
      <c r="B7">
        <f t="shared" si="4"/>
        <v>355</v>
      </c>
      <c r="C7">
        <f t="shared" si="5"/>
        <v>1</v>
      </c>
      <c r="D7" s="1">
        <f t="shared" si="0"/>
        <v>355.0160035671766</v>
      </c>
      <c r="E7">
        <v>5</v>
      </c>
      <c r="F7" s="1">
        <f t="shared" si="1"/>
        <v>120.29257407398225</v>
      </c>
      <c r="G7" s="1">
        <f t="shared" si="2"/>
        <v>6.386976103954316</v>
      </c>
      <c r="K7">
        <v>4</v>
      </c>
      <c r="L7">
        <f>L6-35</f>
        <v>250</v>
      </c>
    </row>
    <row r="8" spans="1:12" x14ac:dyDescent="0.2">
      <c r="A8" t="str">
        <f t="shared" si="3"/>
        <v>H-1-6</v>
      </c>
      <c r="B8">
        <f t="shared" si="4"/>
        <v>355</v>
      </c>
      <c r="C8">
        <f t="shared" si="5"/>
        <v>1</v>
      </c>
      <c r="D8" s="1">
        <f t="shared" si="0"/>
        <v>355.0160035671766</v>
      </c>
      <c r="E8">
        <v>6</v>
      </c>
      <c r="F8" s="1">
        <f t="shared" si="1"/>
        <v>120.35708960898624</v>
      </c>
      <c r="G8" s="1">
        <f t="shared" si="2"/>
        <v>11.98833687065725</v>
      </c>
      <c r="K8">
        <v>5</v>
      </c>
      <c r="L8">
        <f>L7-35</f>
        <v>215</v>
      </c>
    </row>
    <row r="9" spans="1:12" x14ac:dyDescent="0.2">
      <c r="A9" t="str">
        <f t="shared" si="3"/>
        <v>H-1-7</v>
      </c>
      <c r="B9">
        <f t="shared" si="4"/>
        <v>355</v>
      </c>
      <c r="C9">
        <f t="shared" si="5"/>
        <v>1</v>
      </c>
      <c r="D9" s="1">
        <f t="shared" si="0"/>
        <v>355.0160035671766</v>
      </c>
      <c r="E9">
        <v>7</v>
      </c>
      <c r="F9" s="1">
        <f t="shared" si="1"/>
        <v>119.79848683553425</v>
      </c>
      <c r="G9" s="1">
        <f t="shared" si="2"/>
        <v>17.420615875587853</v>
      </c>
      <c r="K9">
        <v>6</v>
      </c>
      <c r="L9">
        <f>L8-35</f>
        <v>180</v>
      </c>
    </row>
    <row r="10" spans="1:12" x14ac:dyDescent="0.2">
      <c r="A10" t="str">
        <f t="shared" si="3"/>
        <v>H-1-8</v>
      </c>
      <c r="B10">
        <f t="shared" si="4"/>
        <v>355</v>
      </c>
      <c r="C10">
        <f t="shared" si="5"/>
        <v>1</v>
      </c>
      <c r="D10" s="1">
        <f t="shared" si="0"/>
        <v>355.0160035671766</v>
      </c>
      <c r="E10">
        <v>8</v>
      </c>
      <c r="F10" s="1">
        <f t="shared" si="1"/>
        <v>118.68651032493372</v>
      </c>
      <c r="G10" s="1">
        <f t="shared" si="2"/>
        <v>22.630789306997389</v>
      </c>
      <c r="K10">
        <v>7</v>
      </c>
      <c r="L10">
        <f>L9-35</f>
        <v>145</v>
      </c>
    </row>
    <row r="11" spans="1:12" x14ac:dyDescent="0.2">
      <c r="A11" t="str">
        <f>CONCATENATE("H-",C11,"-",E11)</f>
        <v>H-2-1</v>
      </c>
      <c r="B11">
        <f>B3-35</f>
        <v>320</v>
      </c>
      <c r="C11">
        <v>2</v>
      </c>
      <c r="D11" s="1">
        <f t="shared" si="0"/>
        <v>320.01442575069439</v>
      </c>
      <c r="E11">
        <v>1</v>
      </c>
      <c r="F11" s="1">
        <f t="shared" ref="F11:F26" si="6">(Straight-(IF(D11&gt;VLOOKUP(E11,Data,4,FALSE),1,D11/VLOOKUP(E11,Data,4,FALSE)))*Straight+(IF(D11&gt;VLOOKUP(E11,Data,9,FALSE),1,IF(D11&gt;VLOOKUP(E11,Data,8,FALSE),(D11-VLOOKUP(E11,Data,8,FALSE))/VLOOKUP(E11,Data,6,FALSE),0)))*Straight)-VLOOKUP(E11,Data,2,FALSE)*SIN(RADIANS(180*(IF(D11&gt;VLOOKUP(E11,Data,8,FALSE),1,IF(D11&gt;VLOOKUP(E11,Data,4,FALSE),(D11-VLOOKUP(E11,Data,4,FALSE))/VLOOKUP(E11,Data,5,FALSE),0)))+180*(IF(D11&gt;VLOOKUP(E11,Data,10,FALSE),1,IF(D11&gt;VLOOKUP(E11,Data,9,FALSE),(D11-VLOOKUP(E11,Data,9,FALSE))/VLOOKUP(E11,Data,7,FALSE),0)))))</f>
        <v>111.64106706192882</v>
      </c>
      <c r="G11" s="1">
        <f t="shared" ref="G11:G26" si="7">-VLOOKUP(E11,Data,2,FALSE)*COS(RADIANS(180*(IF(D11&gt;VLOOKUP(E11,Data,8,FALSE),1,IF(D11&gt;VLOOKUP(E11,Data,4,FALSE),(D11-VLOOKUP(E11,Data,4,FALSE))/VLOOKUP(E11,Data,5,FALSE),0)))+180*(IF(D11&gt;VLOOKUP(E11,Data,10,FALSE),1,IF(D11&gt;VLOOKUP(E11,Data,9,FALSE),(D11-VLOOKUP(E11,Data,9,FALSE))/VLOOKUP(E11,Data,7,FALSE),0)))))</f>
        <v>17.680029356800436</v>
      </c>
      <c r="K11">
        <v>8</v>
      </c>
      <c r="L11">
        <f>L10-35</f>
        <v>110</v>
      </c>
    </row>
    <row r="12" spans="1:12" x14ac:dyDescent="0.2">
      <c r="A12" t="str">
        <f t="shared" si="3"/>
        <v>H-2-2</v>
      </c>
      <c r="B12">
        <f>B11</f>
        <v>320</v>
      </c>
      <c r="C12">
        <f>C11</f>
        <v>2</v>
      </c>
      <c r="D12" s="1">
        <f t="shared" si="0"/>
        <v>320.01442575069439</v>
      </c>
      <c r="E12">
        <v>2</v>
      </c>
      <c r="F12" s="1">
        <f t="shared" si="6"/>
        <v>110.10637504775183</v>
      </c>
      <c r="G12" s="1">
        <f t="shared" si="7"/>
        <v>22.660903086309023</v>
      </c>
      <c r="K12">
        <v>9</v>
      </c>
      <c r="L12">
        <f>L11-35</f>
        <v>75</v>
      </c>
    </row>
    <row r="13" spans="1:12" x14ac:dyDescent="0.2">
      <c r="A13" t="str">
        <f t="shared" si="3"/>
        <v>H-2-3</v>
      </c>
      <c r="B13">
        <f t="shared" ref="B13:C18" si="8">B12</f>
        <v>320</v>
      </c>
      <c r="C13">
        <f t="shared" si="8"/>
        <v>2</v>
      </c>
      <c r="D13" s="1">
        <f t="shared" si="0"/>
        <v>320.01442575069439</v>
      </c>
      <c r="E13">
        <v>3</v>
      </c>
      <c r="F13" s="1">
        <f t="shared" si="6"/>
        <v>108.05782410739477</v>
      </c>
      <c r="G13" s="1">
        <f t="shared" si="7"/>
        <v>27.294901362901133</v>
      </c>
      <c r="K13">
        <v>10</v>
      </c>
      <c r="L13">
        <f>L12-35</f>
        <v>40</v>
      </c>
    </row>
    <row r="14" spans="1:12" x14ac:dyDescent="0.2">
      <c r="A14" t="str">
        <f t="shared" si="3"/>
        <v>H-2-4</v>
      </c>
      <c r="B14">
        <f t="shared" si="8"/>
        <v>320</v>
      </c>
      <c r="C14">
        <f t="shared" si="8"/>
        <v>2</v>
      </c>
      <c r="D14" s="1">
        <f t="shared" si="0"/>
        <v>320.01442575069439</v>
      </c>
      <c r="E14">
        <v>4</v>
      </c>
      <c r="F14" s="1">
        <f t="shared" si="6"/>
        <v>105.58082415722299</v>
      </c>
      <c r="G14" s="1">
        <f t="shared" si="7"/>
        <v>31.557235448931664</v>
      </c>
    </row>
    <row r="15" spans="1:12" x14ac:dyDescent="0.2">
      <c r="A15" t="str">
        <f t="shared" si="3"/>
        <v>H-2-5</v>
      </c>
      <c r="B15">
        <f t="shared" si="8"/>
        <v>320</v>
      </c>
      <c r="C15">
        <f t="shared" si="8"/>
        <v>2</v>
      </c>
      <c r="D15" s="1">
        <f t="shared" si="0"/>
        <v>320.01442575069439</v>
      </c>
      <c r="E15">
        <v>5</v>
      </c>
      <c r="F15" s="1">
        <f t="shared" si="6"/>
        <v>102.75213646530401</v>
      </c>
      <c r="G15" s="1">
        <f t="shared" si="7"/>
        <v>35.43623565575205</v>
      </c>
    </row>
    <row r="16" spans="1:12" x14ac:dyDescent="0.2">
      <c r="A16" t="str">
        <f t="shared" si="3"/>
        <v>H-2-6</v>
      </c>
      <c r="B16">
        <f t="shared" si="8"/>
        <v>320</v>
      </c>
      <c r="C16">
        <f t="shared" si="8"/>
        <v>2</v>
      </c>
      <c r="D16" s="1">
        <f t="shared" si="0"/>
        <v>320.01442575069439</v>
      </c>
      <c r="E16">
        <v>6</v>
      </c>
      <c r="F16" s="1">
        <f t="shared" si="6"/>
        <v>99.639810746204745</v>
      </c>
      <c r="G16" s="1">
        <f t="shared" si="7"/>
        <v>38.93011958640593</v>
      </c>
    </row>
    <row r="17" spans="1:7" x14ac:dyDescent="0.2">
      <c r="A17" t="str">
        <f t="shared" si="3"/>
        <v>H-2-7</v>
      </c>
      <c r="B17">
        <f t="shared" si="8"/>
        <v>320</v>
      </c>
      <c r="C17">
        <f t="shared" si="8"/>
        <v>2</v>
      </c>
      <c r="D17" s="1">
        <f t="shared" si="0"/>
        <v>320.01442575069439</v>
      </c>
      <c r="E17">
        <v>7</v>
      </c>
      <c r="F17" s="1">
        <f t="shared" si="6"/>
        <v>96.303514230980596</v>
      </c>
      <c r="G17" s="1">
        <f t="shared" si="7"/>
        <v>42.044399926785893</v>
      </c>
    </row>
    <row r="18" spans="1:7" x14ac:dyDescent="0.2">
      <c r="A18" t="str">
        <f t="shared" si="3"/>
        <v>H-2-8</v>
      </c>
      <c r="B18">
        <f t="shared" si="8"/>
        <v>320</v>
      </c>
      <c r="C18">
        <f t="shared" si="8"/>
        <v>2</v>
      </c>
      <c r="D18" s="1">
        <f t="shared" si="0"/>
        <v>320.01442575069439</v>
      </c>
      <c r="E18">
        <v>8</v>
      </c>
      <c r="F18" s="1">
        <f t="shared" si="6"/>
        <v>92.795088300396159</v>
      </c>
      <c r="G18" s="1">
        <f t="shared" si="7"/>
        <v>44.789832173793648</v>
      </c>
    </row>
    <row r="19" spans="1:7" x14ac:dyDescent="0.2">
      <c r="A19" t="str">
        <f>CONCATENATE("H-",C19,"-",E19)</f>
        <v>H-3-1</v>
      </c>
      <c r="B19">
        <f>B11-35</f>
        <v>285</v>
      </c>
      <c r="C19">
        <v>3</v>
      </c>
      <c r="D19" s="1">
        <f t="shared" si="0"/>
        <v>285.01284793421218</v>
      </c>
      <c r="E19">
        <v>1</v>
      </c>
      <c r="F19" s="1">
        <f t="shared" si="6"/>
        <v>84.904877087117455</v>
      </c>
      <c r="G19" s="1">
        <f t="shared" si="7"/>
        <v>38.157330164444154</v>
      </c>
    </row>
    <row r="20" spans="1:7" x14ac:dyDescent="0.2">
      <c r="A20" t="str">
        <f t="shared" si="3"/>
        <v>H-3-2</v>
      </c>
      <c r="B20">
        <f>B19</f>
        <v>285</v>
      </c>
      <c r="C20">
        <f>C19</f>
        <v>3</v>
      </c>
      <c r="D20" s="1">
        <f t="shared" si="0"/>
        <v>285.01284793421218</v>
      </c>
      <c r="E20">
        <v>2</v>
      </c>
      <c r="F20" s="1">
        <f t="shared" si="6"/>
        <v>81.141936464815245</v>
      </c>
      <c r="G20" s="1">
        <f t="shared" si="7"/>
        <v>39.984561224292243</v>
      </c>
    </row>
    <row r="21" spans="1:7" x14ac:dyDescent="0.2">
      <c r="A21" t="str">
        <f t="shared" si="3"/>
        <v>H-3-3</v>
      </c>
      <c r="B21">
        <f t="shared" ref="B21:C26" si="9">B20</f>
        <v>285</v>
      </c>
      <c r="C21">
        <f t="shared" si="9"/>
        <v>3</v>
      </c>
      <c r="D21" s="1">
        <f t="shared" si="0"/>
        <v>285.01284793421218</v>
      </c>
      <c r="E21">
        <v>3</v>
      </c>
      <c r="F21" s="1">
        <f t="shared" si="6"/>
        <v>77.336183184677466</v>
      </c>
      <c r="G21" s="1">
        <f t="shared" si="7"/>
        <v>41.42759733035107</v>
      </c>
    </row>
    <row r="22" spans="1:7" x14ac:dyDescent="0.2">
      <c r="A22" t="str">
        <f t="shared" si="3"/>
        <v>H-3-4</v>
      </c>
      <c r="B22">
        <f t="shared" si="9"/>
        <v>285</v>
      </c>
      <c r="C22">
        <f t="shared" si="9"/>
        <v>3</v>
      </c>
      <c r="D22" s="1">
        <f t="shared" si="0"/>
        <v>285.01284793421218</v>
      </c>
      <c r="E22">
        <v>4</v>
      </c>
      <c r="F22" s="1">
        <f t="shared" si="6"/>
        <v>73.505602727889539</v>
      </c>
      <c r="G22" s="1">
        <f t="shared" si="7"/>
        <v>42.65</v>
      </c>
    </row>
    <row r="23" spans="1:7" x14ac:dyDescent="0.2">
      <c r="A23" t="str">
        <f t="shared" si="3"/>
        <v>H-3-5</v>
      </c>
      <c r="B23">
        <f t="shared" si="9"/>
        <v>285</v>
      </c>
      <c r="C23">
        <f t="shared" si="9"/>
        <v>3</v>
      </c>
      <c r="D23" s="1">
        <f t="shared" si="0"/>
        <v>285.01284793421218</v>
      </c>
      <c r="E23">
        <v>5</v>
      </c>
      <c r="F23" s="1">
        <f t="shared" si="6"/>
        <v>69.672859690509995</v>
      </c>
      <c r="G23" s="1">
        <f t="shared" si="7"/>
        <v>43.87</v>
      </c>
    </row>
    <row r="24" spans="1:7" x14ac:dyDescent="0.2">
      <c r="A24" t="str">
        <f t="shared" si="3"/>
        <v>H-3-6</v>
      </c>
      <c r="B24">
        <f t="shared" si="9"/>
        <v>285</v>
      </c>
      <c r="C24">
        <f t="shared" si="9"/>
        <v>3</v>
      </c>
      <c r="D24" s="1">
        <f t="shared" si="0"/>
        <v>285.01284793421218</v>
      </c>
      <c r="E24">
        <v>6</v>
      </c>
      <c r="F24" s="1">
        <f t="shared" si="6"/>
        <v>65.840116653130451</v>
      </c>
      <c r="G24" s="1">
        <f t="shared" si="7"/>
        <v>45.089999999999996</v>
      </c>
    </row>
    <row r="25" spans="1:7" x14ac:dyDescent="0.2">
      <c r="A25" t="str">
        <f t="shared" si="3"/>
        <v>H-3-7</v>
      </c>
      <c r="B25">
        <f t="shared" si="9"/>
        <v>285</v>
      </c>
      <c r="C25">
        <f t="shared" si="9"/>
        <v>3</v>
      </c>
      <c r="D25" s="1">
        <f t="shared" si="0"/>
        <v>285.01284793421218</v>
      </c>
      <c r="E25">
        <v>7</v>
      </c>
      <c r="F25" s="1">
        <f t="shared" si="6"/>
        <v>62.0073736157509</v>
      </c>
      <c r="G25" s="1">
        <f t="shared" si="7"/>
        <v>46.309999999999995</v>
      </c>
    </row>
    <row r="26" spans="1:7" x14ac:dyDescent="0.2">
      <c r="A26" t="str">
        <f t="shared" si="3"/>
        <v>H-3-8</v>
      </c>
      <c r="B26">
        <f t="shared" si="9"/>
        <v>285</v>
      </c>
      <c r="C26">
        <f t="shared" si="9"/>
        <v>3</v>
      </c>
      <c r="D26" s="1">
        <f t="shared" si="0"/>
        <v>285.01284793421218</v>
      </c>
      <c r="E26">
        <v>8</v>
      </c>
      <c r="F26" s="1">
        <f t="shared" si="6"/>
        <v>58.174630578371357</v>
      </c>
      <c r="G26" s="1">
        <f t="shared" si="7"/>
        <v>47.529999999999994</v>
      </c>
    </row>
    <row r="27" spans="1:7" x14ac:dyDescent="0.2">
      <c r="A27" t="str">
        <f>CONCATENATE("H-",C27,"-",E27)</f>
        <v>H-4-1</v>
      </c>
      <c r="B27">
        <f>B19-35</f>
        <v>250</v>
      </c>
      <c r="C27">
        <v>4</v>
      </c>
      <c r="D27" s="1">
        <f t="shared" si="0"/>
        <v>250.01127011772999</v>
      </c>
      <c r="E27">
        <v>1</v>
      </c>
      <c r="F27" s="1">
        <f t="shared" si="1"/>
        <v>50.00225402354598</v>
      </c>
      <c r="G27" s="1">
        <f t="shared" si="2"/>
        <v>38.99</v>
      </c>
    </row>
    <row r="28" spans="1:7" x14ac:dyDescent="0.2">
      <c r="A28" t="str">
        <f t="shared" ref="A28:A34" si="10">CONCATENATE("H-",C28,"-",E28)</f>
        <v>H-4-2</v>
      </c>
      <c r="B28">
        <f>B27</f>
        <v>250</v>
      </c>
      <c r="C28">
        <f>C27</f>
        <v>4</v>
      </c>
      <c r="D28" s="1">
        <f t="shared" si="0"/>
        <v>250.01127011772999</v>
      </c>
      <c r="E28">
        <v>2</v>
      </c>
      <c r="F28" s="1">
        <f t="shared" si="1"/>
        <v>46.169510986166436</v>
      </c>
      <c r="G28" s="1">
        <f t="shared" si="2"/>
        <v>40.21</v>
      </c>
    </row>
    <row r="29" spans="1:7" x14ac:dyDescent="0.2">
      <c r="A29" t="str">
        <f t="shared" si="10"/>
        <v>H-4-3</v>
      </c>
      <c r="B29">
        <f t="shared" ref="B29:B34" si="11">B28</f>
        <v>250</v>
      </c>
      <c r="C29">
        <f t="shared" ref="C29:C34" si="12">C28</f>
        <v>4</v>
      </c>
      <c r="D29" s="1">
        <f t="shared" si="0"/>
        <v>250.01127011772999</v>
      </c>
      <c r="E29">
        <v>3</v>
      </c>
      <c r="F29" s="1">
        <f t="shared" si="1"/>
        <v>42.336767948786893</v>
      </c>
      <c r="G29" s="1">
        <f t="shared" si="2"/>
        <v>41.43</v>
      </c>
    </row>
    <row r="30" spans="1:7" x14ac:dyDescent="0.2">
      <c r="A30" t="str">
        <f t="shared" si="10"/>
        <v>H-4-4</v>
      </c>
      <c r="B30">
        <f t="shared" si="11"/>
        <v>250</v>
      </c>
      <c r="C30">
        <f t="shared" si="12"/>
        <v>4</v>
      </c>
      <c r="D30" s="1">
        <f t="shared" si="0"/>
        <v>250.01127011772999</v>
      </c>
      <c r="E30">
        <v>4</v>
      </c>
      <c r="F30" s="1">
        <f t="shared" si="1"/>
        <v>38.504024911407349</v>
      </c>
      <c r="G30" s="1">
        <f t="shared" si="2"/>
        <v>42.65</v>
      </c>
    </row>
    <row r="31" spans="1:7" x14ac:dyDescent="0.2">
      <c r="A31" t="str">
        <f t="shared" si="10"/>
        <v>H-4-5</v>
      </c>
      <c r="B31">
        <f t="shared" si="11"/>
        <v>250</v>
      </c>
      <c r="C31">
        <f t="shared" si="12"/>
        <v>4</v>
      </c>
      <c r="D31" s="1">
        <f t="shared" si="0"/>
        <v>250.01127011772999</v>
      </c>
      <c r="E31">
        <v>5</v>
      </c>
      <c r="F31" s="1">
        <f t="shared" si="1"/>
        <v>34.671281874027805</v>
      </c>
      <c r="G31" s="1">
        <f t="shared" si="2"/>
        <v>43.87</v>
      </c>
    </row>
    <row r="32" spans="1:7" x14ac:dyDescent="0.2">
      <c r="A32" t="str">
        <f t="shared" si="10"/>
        <v>H-4-6</v>
      </c>
      <c r="B32">
        <f t="shared" si="11"/>
        <v>250</v>
      </c>
      <c r="C32">
        <f t="shared" si="12"/>
        <v>4</v>
      </c>
      <c r="D32" s="1">
        <f t="shared" si="0"/>
        <v>250.01127011772999</v>
      </c>
      <c r="E32">
        <v>6</v>
      </c>
      <c r="F32" s="1">
        <f t="shared" si="1"/>
        <v>30.838538836648262</v>
      </c>
      <c r="G32" s="1">
        <f t="shared" si="2"/>
        <v>45.089999999999996</v>
      </c>
    </row>
    <row r="33" spans="1:7" x14ac:dyDescent="0.2">
      <c r="A33" t="str">
        <f t="shared" si="10"/>
        <v>H-4-7</v>
      </c>
      <c r="B33">
        <f t="shared" si="11"/>
        <v>250</v>
      </c>
      <c r="C33">
        <f t="shared" si="12"/>
        <v>4</v>
      </c>
      <c r="D33" s="1">
        <f t="shared" si="0"/>
        <v>250.01127011772999</v>
      </c>
      <c r="E33">
        <v>7</v>
      </c>
      <c r="F33" s="1">
        <f t="shared" si="1"/>
        <v>27.005795799268721</v>
      </c>
      <c r="G33" s="1">
        <f t="shared" si="2"/>
        <v>46.309999999999995</v>
      </c>
    </row>
    <row r="34" spans="1:7" x14ac:dyDescent="0.2">
      <c r="A34" t="str">
        <f t="shared" si="10"/>
        <v>H-4-8</v>
      </c>
      <c r="B34">
        <f t="shared" si="11"/>
        <v>250</v>
      </c>
      <c r="C34">
        <f t="shared" si="12"/>
        <v>4</v>
      </c>
      <c r="D34" s="1">
        <f t="shared" si="0"/>
        <v>250.01127011772999</v>
      </c>
      <c r="E34">
        <v>8</v>
      </c>
      <c r="F34" s="1">
        <f t="shared" si="1"/>
        <v>23.173052761889174</v>
      </c>
      <c r="G34" s="1">
        <f t="shared" si="2"/>
        <v>47.529999999999994</v>
      </c>
    </row>
    <row r="35" spans="1:7" x14ac:dyDescent="0.2">
      <c r="A35" t="str">
        <f>CONCATENATE("H-",C35,"-",E35)</f>
        <v>H-5-1</v>
      </c>
      <c r="B35">
        <f>B27-35</f>
        <v>215</v>
      </c>
      <c r="C35">
        <v>5</v>
      </c>
      <c r="D35" s="1">
        <f t="shared" si="0"/>
        <v>215.00969230124781</v>
      </c>
      <c r="E35">
        <v>1</v>
      </c>
      <c r="F35" s="1">
        <f t="shared" si="1"/>
        <v>15.000676207063799</v>
      </c>
      <c r="G35" s="1">
        <f t="shared" si="2"/>
        <v>38.99</v>
      </c>
    </row>
    <row r="36" spans="1:7" x14ac:dyDescent="0.2">
      <c r="A36" t="str">
        <f t="shared" ref="A36:A42" si="13">CONCATENATE("H-",C36,"-",E36)</f>
        <v>H-5-2</v>
      </c>
      <c r="B36">
        <f>B35</f>
        <v>215</v>
      </c>
      <c r="C36">
        <f>C35</f>
        <v>5</v>
      </c>
      <c r="D36" s="1">
        <f t="shared" si="0"/>
        <v>215.00969230124781</v>
      </c>
      <c r="E36">
        <v>2</v>
      </c>
      <c r="F36" s="1">
        <f t="shared" si="1"/>
        <v>11.167933169684254</v>
      </c>
      <c r="G36" s="1">
        <f t="shared" si="2"/>
        <v>40.21</v>
      </c>
    </row>
    <row r="37" spans="1:7" x14ac:dyDescent="0.2">
      <c r="A37" t="str">
        <f t="shared" si="13"/>
        <v>H-5-3</v>
      </c>
      <c r="B37">
        <f t="shared" ref="B37:B42" si="14">B36</f>
        <v>215</v>
      </c>
      <c r="C37">
        <f t="shared" ref="C37:C42" si="15">C36</f>
        <v>5</v>
      </c>
      <c r="D37" s="1">
        <f t="shared" si="0"/>
        <v>215.00969230124781</v>
      </c>
      <c r="E37">
        <v>3</v>
      </c>
      <c r="F37" s="1">
        <f t="shared" si="1"/>
        <v>7.3351901323047128</v>
      </c>
      <c r="G37" s="1">
        <f t="shared" si="2"/>
        <v>41.43</v>
      </c>
    </row>
    <row r="38" spans="1:7" x14ac:dyDescent="0.2">
      <c r="A38" t="str">
        <f t="shared" si="13"/>
        <v>H-5-4</v>
      </c>
      <c r="B38">
        <f t="shared" si="14"/>
        <v>215</v>
      </c>
      <c r="C38">
        <f t="shared" si="15"/>
        <v>5</v>
      </c>
      <c r="D38" s="1">
        <f t="shared" si="0"/>
        <v>215.00969230124781</v>
      </c>
      <c r="E38">
        <v>4</v>
      </c>
      <c r="F38" s="1">
        <f t="shared" si="1"/>
        <v>3.5024470949251687</v>
      </c>
      <c r="G38" s="1">
        <f t="shared" si="2"/>
        <v>42.65</v>
      </c>
    </row>
    <row r="39" spans="1:7" x14ac:dyDescent="0.2">
      <c r="A39" t="str">
        <f t="shared" si="13"/>
        <v>H-5-5</v>
      </c>
      <c r="B39">
        <f t="shared" si="14"/>
        <v>215</v>
      </c>
      <c r="C39">
        <f t="shared" si="15"/>
        <v>5</v>
      </c>
      <c r="D39" s="1">
        <f t="shared" si="0"/>
        <v>215.00969230124781</v>
      </c>
      <c r="E39">
        <v>5</v>
      </c>
      <c r="F39" s="1">
        <f t="shared" si="1"/>
        <v>-0.32879390377910445</v>
      </c>
      <c r="G39" s="1">
        <f t="shared" si="2"/>
        <v>43.868767871560259</v>
      </c>
    </row>
    <row r="40" spans="1:7" x14ac:dyDescent="0.2">
      <c r="A40" t="str">
        <f t="shared" si="13"/>
        <v>H-5-6</v>
      </c>
      <c r="B40">
        <f t="shared" si="14"/>
        <v>215</v>
      </c>
      <c r="C40">
        <f t="shared" si="15"/>
        <v>5</v>
      </c>
      <c r="D40" s="1">
        <f t="shared" si="0"/>
        <v>215.00969230124781</v>
      </c>
      <c r="E40">
        <v>6</v>
      </c>
      <c r="F40" s="1">
        <f t="shared" si="1"/>
        <v>-4.1388210107597319</v>
      </c>
      <c r="G40" s="1">
        <f t="shared" si="2"/>
        <v>44.899646553629943</v>
      </c>
    </row>
    <row r="41" spans="1:7" x14ac:dyDescent="0.2">
      <c r="A41" t="str">
        <f t="shared" si="13"/>
        <v>H-5-7</v>
      </c>
      <c r="B41">
        <f t="shared" si="14"/>
        <v>215</v>
      </c>
      <c r="C41">
        <f t="shared" si="15"/>
        <v>5</v>
      </c>
      <c r="D41" s="1">
        <f t="shared" si="0"/>
        <v>215.00969230124781</v>
      </c>
      <c r="E41">
        <v>7</v>
      </c>
      <c r="F41" s="1">
        <f t="shared" si="1"/>
        <v>-7.9222404959151698</v>
      </c>
      <c r="G41" s="1">
        <f t="shared" si="2"/>
        <v>45.627340548457141</v>
      </c>
    </row>
    <row r="42" spans="1:7" x14ac:dyDescent="0.2">
      <c r="A42" t="str">
        <f t="shared" si="13"/>
        <v>H-5-8</v>
      </c>
      <c r="B42">
        <f t="shared" si="14"/>
        <v>215</v>
      </c>
      <c r="C42">
        <f t="shared" si="15"/>
        <v>5</v>
      </c>
      <c r="D42" s="1">
        <f t="shared" si="0"/>
        <v>215.00969230124781</v>
      </c>
      <c r="E42">
        <v>8</v>
      </c>
      <c r="F42" s="1">
        <f t="shared" si="1"/>
        <v>-11.658761881032641</v>
      </c>
      <c r="G42" s="1">
        <f t="shared" si="2"/>
        <v>46.077914139003511</v>
      </c>
    </row>
    <row r="43" spans="1:7" x14ac:dyDescent="0.2">
      <c r="A43" t="str">
        <f>CONCATENATE("H-",C43,"-",E43)</f>
        <v>H-6-1</v>
      </c>
      <c r="B43">
        <f>B35-35</f>
        <v>180</v>
      </c>
      <c r="C43">
        <v>6</v>
      </c>
      <c r="D43" s="1">
        <f t="shared" si="0"/>
        <v>180.0081144847656</v>
      </c>
      <c r="E43">
        <v>1</v>
      </c>
      <c r="F43" s="1">
        <f t="shared" si="1"/>
        <v>-19.046187106651736</v>
      </c>
      <c r="G43" s="1">
        <f t="shared" si="2"/>
        <v>34.021505797045691</v>
      </c>
    </row>
    <row r="44" spans="1:7" x14ac:dyDescent="0.2">
      <c r="A44" t="str">
        <f t="shared" ref="A44:A50" si="16">CONCATENATE("H-",C44,"-",E44)</f>
        <v>H-6-2</v>
      </c>
      <c r="B44">
        <f>B43</f>
        <v>180</v>
      </c>
      <c r="C44">
        <f>C43</f>
        <v>6</v>
      </c>
      <c r="D44" s="1">
        <f t="shared" si="0"/>
        <v>180.0081144847656</v>
      </c>
      <c r="E44">
        <v>2</v>
      </c>
      <c r="F44" s="1">
        <f t="shared" si="1"/>
        <v>-22.36445050630012</v>
      </c>
      <c r="G44" s="1">
        <f t="shared" si="2"/>
        <v>33.416694234338202</v>
      </c>
    </row>
    <row r="45" spans="1:7" x14ac:dyDescent="0.2">
      <c r="A45" t="str">
        <f t="shared" si="16"/>
        <v>H-6-3</v>
      </c>
      <c r="B45">
        <f t="shared" ref="B45:B50" si="17">B44</f>
        <v>180</v>
      </c>
      <c r="C45">
        <f t="shared" ref="C45:C50" si="18">C44</f>
        <v>6</v>
      </c>
      <c r="D45" s="1">
        <f t="shared" si="0"/>
        <v>180.0081144847656</v>
      </c>
      <c r="E45">
        <v>3</v>
      </c>
      <c r="F45" s="1">
        <f t="shared" si="1"/>
        <v>-25.5510039081421</v>
      </c>
      <c r="G45" s="1">
        <f t="shared" si="2"/>
        <v>32.612744430453979</v>
      </c>
    </row>
    <row r="46" spans="1:7" x14ac:dyDescent="0.2">
      <c r="A46" t="str">
        <f t="shared" si="16"/>
        <v>H-6-4</v>
      </c>
      <c r="B46">
        <f t="shared" si="17"/>
        <v>180</v>
      </c>
      <c r="C46">
        <f t="shared" si="18"/>
        <v>6</v>
      </c>
      <c r="D46" s="1">
        <f t="shared" si="0"/>
        <v>180.0081144847656</v>
      </c>
      <c r="E46">
        <v>4</v>
      </c>
      <c r="F46" s="1">
        <f t="shared" si="1"/>
        <v>-28.60377662441444</v>
      </c>
      <c r="G46" s="1">
        <f t="shared" si="2"/>
        <v>31.636157523008414</v>
      </c>
    </row>
    <row r="47" spans="1:7" x14ac:dyDescent="0.2">
      <c r="A47" t="str">
        <f t="shared" si="16"/>
        <v>H-6-5</v>
      </c>
      <c r="B47">
        <f t="shared" si="17"/>
        <v>180</v>
      </c>
      <c r="C47">
        <f t="shared" si="18"/>
        <v>6</v>
      </c>
      <c r="D47" s="1">
        <f t="shared" si="0"/>
        <v>180.0081144847656</v>
      </c>
      <c r="E47">
        <v>5</v>
      </c>
      <c r="F47" s="1">
        <f t="shared" si="1"/>
        <v>-31.522986898456178</v>
      </c>
      <c r="G47" s="1">
        <f t="shared" si="2"/>
        <v>30.51029657344812</v>
      </c>
    </row>
    <row r="48" spans="1:7" x14ac:dyDescent="0.2">
      <c r="A48" t="str">
        <f t="shared" si="16"/>
        <v>H-6-6</v>
      </c>
      <c r="B48">
        <f t="shared" si="17"/>
        <v>180</v>
      </c>
      <c r="C48">
        <f t="shared" si="18"/>
        <v>6</v>
      </c>
      <c r="D48" s="1">
        <f t="shared" si="0"/>
        <v>180.0081144847656</v>
      </c>
      <c r="E48">
        <v>6</v>
      </c>
      <c r="F48" s="1">
        <f t="shared" si="1"/>
        <v>-34.310530251320579</v>
      </c>
      <c r="G48" s="1">
        <f t="shared" si="2"/>
        <v>29.255693700085377</v>
      </c>
    </row>
    <row r="49" spans="1:7" x14ac:dyDescent="0.2">
      <c r="A49" t="str">
        <f t="shared" si="16"/>
        <v>H-6-7</v>
      </c>
      <c r="B49">
        <f t="shared" si="17"/>
        <v>180</v>
      </c>
      <c r="C49">
        <f t="shared" si="18"/>
        <v>6</v>
      </c>
      <c r="D49" s="1">
        <f t="shared" si="0"/>
        <v>180.0081144847656</v>
      </c>
      <c r="E49">
        <v>7</v>
      </c>
      <c r="F49" s="1">
        <f t="shared" si="1"/>
        <v>-36.96950673449124</v>
      </c>
      <c r="G49" s="1">
        <f t="shared" si="2"/>
        <v>27.890350872809151</v>
      </c>
    </row>
    <row r="50" spans="1:7" x14ac:dyDescent="0.2">
      <c r="A50" t="str">
        <f t="shared" si="16"/>
        <v>H-6-8</v>
      </c>
      <c r="B50">
        <f t="shared" si="17"/>
        <v>180</v>
      </c>
      <c r="C50">
        <f t="shared" si="18"/>
        <v>6</v>
      </c>
      <c r="D50" s="1">
        <f t="shared" si="0"/>
        <v>180.0081144847656</v>
      </c>
      <c r="E50">
        <v>8</v>
      </c>
      <c r="F50" s="1">
        <f t="shared" si="1"/>
        <v>-39.503857141138973</v>
      </c>
      <c r="G50" s="1">
        <f t="shared" si="2"/>
        <v>26.430024044114734</v>
      </c>
    </row>
    <row r="51" spans="1:7" x14ac:dyDescent="0.2">
      <c r="A51" t="str">
        <f>CONCATENATE("H-",C51,"-",E51)</f>
        <v>H-7-1</v>
      </c>
      <c r="B51">
        <f>B43-35</f>
        <v>145</v>
      </c>
      <c r="C51">
        <v>7</v>
      </c>
      <c r="D51" s="1">
        <f t="shared" ref="D51:D82" si="19">B51*DIstanceMultiplier</f>
        <v>145.00653666828339</v>
      </c>
      <c r="E51">
        <v>1</v>
      </c>
      <c r="F51" s="1">
        <f t="shared" ref="F51:F82" si="20">(Straight-(IF(D51&gt;VLOOKUP(E51,Data,4,FALSE),1,D51/VLOOKUP(E51,Data,4,FALSE)))*Straight+(IF(D51&gt;VLOOKUP(E51,Data,9,FALSE),1,IF(D51&gt;VLOOKUP(E51,Data,8,FALSE),(D51-VLOOKUP(E51,Data,8,FALSE))/VLOOKUP(E51,Data,6,FALSE),0)))*Straight)-VLOOKUP(E51,Data,2,FALSE)*SIN(RADIANS(180*(IF(D51&gt;VLOOKUP(E51,Data,8,FALSE),1,IF(D51&gt;VLOOKUP(E51,Data,4,FALSE),(D51-VLOOKUP(E51,Data,4,FALSE))/VLOOKUP(E51,Data,5,FALSE),0)))+180*(IF(D51&gt;VLOOKUP(E51,Data,10,FALSE),1,IF(D51&gt;VLOOKUP(E51,Data,9,FALSE),(D51-VLOOKUP(E51,Data,9,FALSE))/VLOOKUP(E51,Data,7,FALSE),0)))))</f>
        <v>-38.445530569292728</v>
      </c>
      <c r="G51" s="1">
        <f t="shared" ref="G51:G82" si="21">-VLOOKUP(E51,Data,2,FALSE)*COS(RADIANS(180*(IF(D51&gt;VLOOKUP(E51,Data,8,FALSE),1,IF(D51&gt;VLOOKUP(E51,Data,4,FALSE),(D51-VLOOKUP(E51,Data,4,FALSE))/VLOOKUP(E51,Data,5,FALSE),0)))+180*(IF(D51&gt;VLOOKUP(E51,Data,10,FALSE),1,IF(D51&gt;VLOOKUP(E51,Data,9,FALSE),(D51-VLOOKUP(E51,Data,9,FALSE))/VLOOKUP(E51,Data,7,FALSE),0)))))</f>
        <v>6.4931717400341897</v>
      </c>
    </row>
    <row r="52" spans="1:7" x14ac:dyDescent="0.2">
      <c r="A52" t="str">
        <f t="shared" ref="A52:A58" si="22">CONCATENATE("H-",C52,"-",E52)</f>
        <v>H-7-2</v>
      </c>
      <c r="B52">
        <f>B51</f>
        <v>145</v>
      </c>
      <c r="C52">
        <f>C51</f>
        <v>7</v>
      </c>
      <c r="D52" s="1">
        <f t="shared" si="19"/>
        <v>145.00653666828339</v>
      </c>
      <c r="E52">
        <v>2</v>
      </c>
      <c r="F52" s="1">
        <f t="shared" si="20"/>
        <v>-39.945145112746069</v>
      </c>
      <c r="G52" s="1">
        <f t="shared" si="21"/>
        <v>4.6075461931117792</v>
      </c>
    </row>
    <row r="53" spans="1:7" x14ac:dyDescent="0.2">
      <c r="A53" t="str">
        <f t="shared" si="22"/>
        <v>H-7-3</v>
      </c>
      <c r="B53">
        <f t="shared" ref="B53:B58" si="23">B52</f>
        <v>145</v>
      </c>
      <c r="C53">
        <f t="shared" ref="C53:C58" si="24">C52</f>
        <v>7</v>
      </c>
      <c r="D53" s="1">
        <f t="shared" si="19"/>
        <v>145.00653666828339</v>
      </c>
      <c r="E53">
        <v>3</v>
      </c>
      <c r="F53" s="1">
        <f t="shared" si="20"/>
        <v>-41.34132067316807</v>
      </c>
      <c r="G53" s="1">
        <f t="shared" si="21"/>
        <v>2.7092628145468716</v>
      </c>
    </row>
    <row r="54" spans="1:7" x14ac:dyDescent="0.2">
      <c r="A54" t="str">
        <f t="shared" si="22"/>
        <v>H-7-4</v>
      </c>
      <c r="B54">
        <f t="shared" si="23"/>
        <v>145</v>
      </c>
      <c r="C54">
        <f t="shared" si="24"/>
        <v>7</v>
      </c>
      <c r="D54" s="1">
        <f t="shared" si="19"/>
        <v>145.00653666828339</v>
      </c>
      <c r="E54">
        <v>4</v>
      </c>
      <c r="F54" s="1">
        <f t="shared" si="20"/>
        <v>-42.642419377687176</v>
      </c>
      <c r="G54" s="1">
        <f t="shared" si="21"/>
        <v>0.80409552756439973</v>
      </c>
    </row>
    <row r="55" spans="1:7" x14ac:dyDescent="0.2">
      <c r="A55" t="str">
        <f t="shared" si="22"/>
        <v>H-7-5</v>
      </c>
      <c r="B55">
        <f t="shared" si="23"/>
        <v>145</v>
      </c>
      <c r="C55">
        <f t="shared" si="24"/>
        <v>7</v>
      </c>
      <c r="D55" s="1">
        <f t="shared" si="19"/>
        <v>145.00653666828339</v>
      </c>
      <c r="E55">
        <v>5</v>
      </c>
      <c r="F55" s="1">
        <f t="shared" si="20"/>
        <v>-43.856123923102061</v>
      </c>
      <c r="G55" s="1">
        <f t="shared" si="21"/>
        <v>-1.1033106731625659</v>
      </c>
    </row>
    <row r="56" spans="1:7" x14ac:dyDescent="0.2">
      <c r="A56" t="str">
        <f t="shared" si="22"/>
        <v>H-7-6</v>
      </c>
      <c r="B56">
        <f t="shared" si="23"/>
        <v>145</v>
      </c>
      <c r="C56">
        <f t="shared" si="24"/>
        <v>7</v>
      </c>
      <c r="D56" s="1">
        <f t="shared" si="19"/>
        <v>145.00653666828339</v>
      </c>
      <c r="E56">
        <v>6</v>
      </c>
      <c r="F56" s="1">
        <f t="shared" si="20"/>
        <v>-44.989472286508523</v>
      </c>
      <c r="G56" s="1">
        <f t="shared" si="21"/>
        <v>-3.0092330221305645</v>
      </c>
    </row>
    <row r="57" spans="1:7" x14ac:dyDescent="0.2">
      <c r="A57" t="str">
        <f t="shared" si="22"/>
        <v>H-7-7</v>
      </c>
      <c r="B57">
        <f t="shared" si="23"/>
        <v>145</v>
      </c>
      <c r="C57">
        <f t="shared" si="24"/>
        <v>7</v>
      </c>
      <c r="D57" s="1">
        <f t="shared" si="19"/>
        <v>145.00653666828339</v>
      </c>
      <c r="E57">
        <v>7</v>
      </c>
      <c r="F57" s="1">
        <f t="shared" si="20"/>
        <v>-46.048898999844305</v>
      </c>
      <c r="G57" s="1">
        <f t="shared" si="21"/>
        <v>-4.9107026892429104</v>
      </c>
    </row>
    <row r="58" spans="1:7" x14ac:dyDescent="0.2">
      <c r="A58" t="str">
        <f t="shared" si="22"/>
        <v>H-7-8</v>
      </c>
      <c r="B58">
        <f t="shared" si="23"/>
        <v>145</v>
      </c>
      <c r="C58">
        <f t="shared" si="24"/>
        <v>7</v>
      </c>
      <c r="D58" s="1">
        <f t="shared" si="19"/>
        <v>145.00653666828339</v>
      </c>
      <c r="E58">
        <v>8</v>
      </c>
      <c r="F58" s="1">
        <f t="shared" si="20"/>
        <v>-47.04027925063054</v>
      </c>
      <c r="G58" s="1">
        <f t="shared" si="21"/>
        <v>-6.8053675890944527</v>
      </c>
    </row>
    <row r="59" spans="1:7" x14ac:dyDescent="0.2">
      <c r="A59" t="str">
        <f>CONCATENATE("H-",C59,"-",E59)</f>
        <v>H-8-1</v>
      </c>
      <c r="B59">
        <f>B51-35</f>
        <v>110</v>
      </c>
      <c r="C59">
        <v>8</v>
      </c>
      <c r="D59" s="1">
        <f t="shared" si="19"/>
        <v>110.00495885180121</v>
      </c>
      <c r="E59">
        <v>1</v>
      </c>
      <c r="F59" s="1">
        <f t="shared" si="20"/>
        <v>-29.163003299198994</v>
      </c>
      <c r="G59" s="1">
        <f t="shared" si="21"/>
        <v>-25.879322606492405</v>
      </c>
    </row>
    <row r="60" spans="1:7" x14ac:dyDescent="0.2">
      <c r="A60" t="str">
        <f t="shared" ref="A60:A66" si="25">CONCATENATE("H-",C60,"-",E60)</f>
        <v>H-8-2</v>
      </c>
      <c r="B60">
        <f>B59</f>
        <v>110</v>
      </c>
      <c r="C60">
        <f>C59</f>
        <v>8</v>
      </c>
      <c r="D60" s="1">
        <f t="shared" si="19"/>
        <v>110.00495885180121</v>
      </c>
      <c r="E60">
        <v>2</v>
      </c>
      <c r="F60" s="1">
        <f t="shared" si="20"/>
        <v>-29.38495031138708</v>
      </c>
      <c r="G60" s="1">
        <f t="shared" si="21"/>
        <v>-27.447564467495329</v>
      </c>
    </row>
    <row r="61" spans="1:7" x14ac:dyDescent="0.2">
      <c r="A61" t="str">
        <f t="shared" si="25"/>
        <v>H-8-3</v>
      </c>
      <c r="B61">
        <f t="shared" ref="B61:B66" si="26">B60</f>
        <v>110</v>
      </c>
      <c r="C61">
        <f t="shared" ref="C61:C66" si="27">C60</f>
        <v>8</v>
      </c>
      <c r="D61" s="1">
        <f t="shared" si="19"/>
        <v>110.00495885180121</v>
      </c>
      <c r="E61">
        <v>3</v>
      </c>
      <c r="F61" s="1">
        <f t="shared" si="20"/>
        <v>-29.588683385662058</v>
      </c>
      <c r="G61" s="1">
        <f t="shared" si="21"/>
        <v>-28.999219222300557</v>
      </c>
    </row>
    <row r="62" spans="1:7" x14ac:dyDescent="0.2">
      <c r="A62" t="str">
        <f t="shared" si="25"/>
        <v>H-8-4</v>
      </c>
      <c r="B62">
        <f t="shared" si="26"/>
        <v>110</v>
      </c>
      <c r="C62">
        <f t="shared" si="27"/>
        <v>8</v>
      </c>
      <c r="D62" s="1">
        <f t="shared" si="19"/>
        <v>110.00495885180121</v>
      </c>
      <c r="E62">
        <v>4</v>
      </c>
      <c r="F62" s="1">
        <f t="shared" si="20"/>
        <v>-29.776125558281276</v>
      </c>
      <c r="G62" s="1">
        <f t="shared" si="21"/>
        <v>-30.535304922948917</v>
      </c>
    </row>
    <row r="63" spans="1:7" x14ac:dyDescent="0.2">
      <c r="A63" t="str">
        <f t="shared" si="25"/>
        <v>H-8-5</v>
      </c>
      <c r="B63">
        <f t="shared" si="26"/>
        <v>110</v>
      </c>
      <c r="C63">
        <f t="shared" si="27"/>
        <v>8</v>
      </c>
      <c r="D63" s="1">
        <f t="shared" si="19"/>
        <v>110.00495885180121</v>
      </c>
      <c r="E63">
        <v>5</v>
      </c>
      <c r="F63" s="1">
        <f t="shared" si="20"/>
        <v>-29.948955401614509</v>
      </c>
      <c r="G63" s="1">
        <f t="shared" si="21"/>
        <v>-32.056777292050192</v>
      </c>
    </row>
    <row r="64" spans="1:7" x14ac:dyDescent="0.2">
      <c r="A64" t="str">
        <f t="shared" si="25"/>
        <v>H-8-6</v>
      </c>
      <c r="B64">
        <f t="shared" si="26"/>
        <v>110</v>
      </c>
      <c r="C64">
        <f t="shared" si="27"/>
        <v>8</v>
      </c>
      <c r="D64" s="1">
        <f t="shared" si="19"/>
        <v>110.00495885180121</v>
      </c>
      <c r="E64">
        <v>6</v>
      </c>
      <c r="F64" s="1">
        <f t="shared" si="20"/>
        <v>-30.108642917705101</v>
      </c>
      <c r="G64" s="1">
        <f t="shared" si="21"/>
        <v>-33.564530708087162</v>
      </c>
    </row>
    <row r="65" spans="1:7" x14ac:dyDescent="0.2">
      <c r="A65" t="str">
        <f t="shared" si="25"/>
        <v>H-8-7</v>
      </c>
      <c r="B65">
        <f t="shared" si="26"/>
        <v>110</v>
      </c>
      <c r="C65">
        <f t="shared" si="27"/>
        <v>8</v>
      </c>
      <c r="D65" s="1">
        <f t="shared" si="19"/>
        <v>110.00495885180121</v>
      </c>
      <c r="E65">
        <v>7</v>
      </c>
      <c r="F65" s="1">
        <f t="shared" si="20"/>
        <v>-30.256479519418686</v>
      </c>
      <c r="G65" s="1">
        <f t="shared" si="21"/>
        <v>-35.059400267132311</v>
      </c>
    </row>
    <row r="66" spans="1:7" x14ac:dyDescent="0.2">
      <c r="A66" t="str">
        <f t="shared" si="25"/>
        <v>H-8-8</v>
      </c>
      <c r="B66">
        <f t="shared" si="26"/>
        <v>110</v>
      </c>
      <c r="C66">
        <f t="shared" si="27"/>
        <v>8</v>
      </c>
      <c r="D66" s="1">
        <f t="shared" si="19"/>
        <v>110.00495885180121</v>
      </c>
      <c r="E66">
        <v>8</v>
      </c>
      <c r="F66" s="1">
        <f t="shared" si="20"/>
        <v>-30.393603167924773</v>
      </c>
      <c r="G66" s="1">
        <f t="shared" si="21"/>
        <v>-36.542164501719277</v>
      </c>
    </row>
    <row r="67" spans="1:7" x14ac:dyDescent="0.2">
      <c r="A67" t="str">
        <f>CONCATENATE("H-",C67,"-",E67)</f>
        <v>H-9-1</v>
      </c>
      <c r="B67">
        <f>B59-35</f>
        <v>75</v>
      </c>
      <c r="C67">
        <v>9</v>
      </c>
      <c r="D67" s="1">
        <f t="shared" si="19"/>
        <v>75.003381035318995</v>
      </c>
      <c r="E67">
        <v>1</v>
      </c>
      <c r="F67" s="1">
        <f t="shared" si="20"/>
        <v>1.8866189646810057</v>
      </c>
      <c r="G67" s="1">
        <f t="shared" si="21"/>
        <v>-38.99</v>
      </c>
    </row>
    <row r="68" spans="1:7" x14ac:dyDescent="0.2">
      <c r="A68" t="str">
        <f t="shared" ref="A68:A74" si="28">CONCATENATE("H-",C68,"-",E68)</f>
        <v>H-9-2</v>
      </c>
      <c r="B68">
        <f>B67</f>
        <v>75</v>
      </c>
      <c r="C68">
        <f>C67</f>
        <v>9</v>
      </c>
      <c r="D68" s="1">
        <f t="shared" si="19"/>
        <v>75.003381035318995</v>
      </c>
      <c r="E68">
        <v>2</v>
      </c>
      <c r="F68" s="1">
        <f t="shared" si="20"/>
        <v>1.8866189646810057</v>
      </c>
      <c r="G68" s="1">
        <f t="shared" si="21"/>
        <v>-40.21</v>
      </c>
    </row>
    <row r="69" spans="1:7" x14ac:dyDescent="0.2">
      <c r="A69" t="str">
        <f t="shared" si="28"/>
        <v>H-9-3</v>
      </c>
      <c r="B69">
        <f t="shared" ref="B69:B74" si="29">B68</f>
        <v>75</v>
      </c>
      <c r="C69">
        <f t="shared" ref="C69:C74" si="30">C68</f>
        <v>9</v>
      </c>
      <c r="D69" s="1">
        <f t="shared" si="19"/>
        <v>75.003381035318995</v>
      </c>
      <c r="E69">
        <v>3</v>
      </c>
      <c r="F69" s="1">
        <f t="shared" si="20"/>
        <v>1.8866189646810057</v>
      </c>
      <c r="G69" s="1">
        <f t="shared" si="21"/>
        <v>-41.43</v>
      </c>
    </row>
    <row r="70" spans="1:7" x14ac:dyDescent="0.2">
      <c r="A70" t="str">
        <f t="shared" si="28"/>
        <v>H-9-4</v>
      </c>
      <c r="B70">
        <f t="shared" si="29"/>
        <v>75</v>
      </c>
      <c r="C70">
        <f t="shared" si="30"/>
        <v>9</v>
      </c>
      <c r="D70" s="1">
        <f t="shared" si="19"/>
        <v>75.003381035318995</v>
      </c>
      <c r="E70">
        <v>4</v>
      </c>
      <c r="F70" s="1">
        <f t="shared" si="20"/>
        <v>1.8866189646810057</v>
      </c>
      <c r="G70" s="1">
        <f t="shared" si="21"/>
        <v>-42.65</v>
      </c>
    </row>
    <row r="71" spans="1:7" x14ac:dyDescent="0.2">
      <c r="A71" t="str">
        <f t="shared" si="28"/>
        <v>H-9-5</v>
      </c>
      <c r="B71">
        <f t="shared" si="29"/>
        <v>75</v>
      </c>
      <c r="C71">
        <f t="shared" si="30"/>
        <v>9</v>
      </c>
      <c r="D71" s="1">
        <f t="shared" si="19"/>
        <v>75.003381035318995</v>
      </c>
      <c r="E71">
        <v>5</v>
      </c>
      <c r="F71" s="1">
        <f t="shared" si="20"/>
        <v>1.8866189646810057</v>
      </c>
      <c r="G71" s="1">
        <f t="shared" si="21"/>
        <v>-43.87</v>
      </c>
    </row>
    <row r="72" spans="1:7" x14ac:dyDescent="0.2">
      <c r="A72" t="str">
        <f t="shared" si="28"/>
        <v>H-9-6</v>
      </c>
      <c r="B72">
        <f t="shared" si="29"/>
        <v>75</v>
      </c>
      <c r="C72">
        <f t="shared" si="30"/>
        <v>9</v>
      </c>
      <c r="D72" s="1">
        <f t="shared" si="19"/>
        <v>75.003381035318995</v>
      </c>
      <c r="E72">
        <v>6</v>
      </c>
      <c r="F72" s="1">
        <f t="shared" si="20"/>
        <v>1.8866189646810057</v>
      </c>
      <c r="G72" s="1">
        <f t="shared" si="21"/>
        <v>-45.089999999999996</v>
      </c>
    </row>
    <row r="73" spans="1:7" x14ac:dyDescent="0.2">
      <c r="A73" t="str">
        <f t="shared" si="28"/>
        <v>H-9-7</v>
      </c>
      <c r="B73">
        <f t="shared" si="29"/>
        <v>75</v>
      </c>
      <c r="C73">
        <f t="shared" si="30"/>
        <v>9</v>
      </c>
      <c r="D73" s="1">
        <f t="shared" si="19"/>
        <v>75.003381035318995</v>
      </c>
      <c r="E73">
        <v>7</v>
      </c>
      <c r="F73" s="1">
        <f t="shared" si="20"/>
        <v>1.8866189646810057</v>
      </c>
      <c r="G73" s="1">
        <f t="shared" si="21"/>
        <v>-46.309999999999995</v>
      </c>
    </row>
    <row r="74" spans="1:7" x14ac:dyDescent="0.2">
      <c r="A74" t="str">
        <f t="shared" si="28"/>
        <v>H-9-8</v>
      </c>
      <c r="B74">
        <f t="shared" si="29"/>
        <v>75</v>
      </c>
      <c r="C74">
        <f t="shared" si="30"/>
        <v>9</v>
      </c>
      <c r="D74" s="1">
        <f t="shared" si="19"/>
        <v>75.003381035318995</v>
      </c>
      <c r="E74">
        <v>8</v>
      </c>
      <c r="F74" s="1">
        <f t="shared" si="20"/>
        <v>1.8866189646810057</v>
      </c>
      <c r="G74" s="1">
        <f t="shared" si="21"/>
        <v>-47.529999999999994</v>
      </c>
    </row>
    <row r="75" spans="1:7" x14ac:dyDescent="0.2">
      <c r="A75" t="str">
        <f>CONCATENATE("H-",C75,"-",E75)</f>
        <v>H-10-1</v>
      </c>
      <c r="B75">
        <f>B67-35</f>
        <v>40</v>
      </c>
      <c r="C75">
        <v>10</v>
      </c>
      <c r="D75" s="1">
        <f t="shared" si="19"/>
        <v>40.001803218836798</v>
      </c>
      <c r="E75">
        <v>1</v>
      </c>
      <c r="F75" s="1">
        <f t="shared" si="20"/>
        <v>36.888196781163202</v>
      </c>
      <c r="G75" s="1">
        <f t="shared" si="21"/>
        <v>-38.99</v>
      </c>
    </row>
    <row r="76" spans="1:7" x14ac:dyDescent="0.2">
      <c r="A76" t="str">
        <f t="shared" ref="A76:A82" si="31">CONCATENATE("H-",C76,"-",E76)</f>
        <v>H-10-2</v>
      </c>
      <c r="B76">
        <f>B75</f>
        <v>40</v>
      </c>
      <c r="C76">
        <f>C75</f>
        <v>10</v>
      </c>
      <c r="D76" s="1">
        <f t="shared" si="19"/>
        <v>40.001803218836798</v>
      </c>
      <c r="E76">
        <v>2</v>
      </c>
      <c r="F76" s="1">
        <f t="shared" si="20"/>
        <v>36.888196781163202</v>
      </c>
      <c r="G76" s="1">
        <f t="shared" si="21"/>
        <v>-40.21</v>
      </c>
    </row>
    <row r="77" spans="1:7" x14ac:dyDescent="0.2">
      <c r="A77" t="str">
        <f t="shared" si="31"/>
        <v>H-10-3</v>
      </c>
      <c r="B77">
        <f t="shared" ref="B77:B82" si="32">B76</f>
        <v>40</v>
      </c>
      <c r="C77">
        <f t="shared" ref="C77:C82" si="33">C76</f>
        <v>10</v>
      </c>
      <c r="D77" s="1">
        <f t="shared" si="19"/>
        <v>40.001803218836798</v>
      </c>
      <c r="E77">
        <v>3</v>
      </c>
      <c r="F77" s="1">
        <f t="shared" si="20"/>
        <v>36.888196781163202</v>
      </c>
      <c r="G77" s="1">
        <f t="shared" si="21"/>
        <v>-41.43</v>
      </c>
    </row>
    <row r="78" spans="1:7" x14ac:dyDescent="0.2">
      <c r="A78" t="str">
        <f t="shared" si="31"/>
        <v>H-10-4</v>
      </c>
      <c r="B78">
        <f t="shared" si="32"/>
        <v>40</v>
      </c>
      <c r="C78">
        <f t="shared" si="33"/>
        <v>10</v>
      </c>
      <c r="D78" s="1">
        <f t="shared" si="19"/>
        <v>40.001803218836798</v>
      </c>
      <c r="E78">
        <v>4</v>
      </c>
      <c r="F78" s="1">
        <f t="shared" si="20"/>
        <v>36.888196781163202</v>
      </c>
      <c r="G78" s="1">
        <f t="shared" si="21"/>
        <v>-42.65</v>
      </c>
    </row>
    <row r="79" spans="1:7" x14ac:dyDescent="0.2">
      <c r="A79" t="str">
        <f t="shared" si="31"/>
        <v>H-10-5</v>
      </c>
      <c r="B79">
        <f t="shared" si="32"/>
        <v>40</v>
      </c>
      <c r="C79">
        <f t="shared" si="33"/>
        <v>10</v>
      </c>
      <c r="D79" s="1">
        <f t="shared" si="19"/>
        <v>40.001803218836798</v>
      </c>
      <c r="E79">
        <v>5</v>
      </c>
      <c r="F79" s="1">
        <f t="shared" si="20"/>
        <v>36.888196781163202</v>
      </c>
      <c r="G79" s="1">
        <f t="shared" si="21"/>
        <v>-43.87</v>
      </c>
    </row>
    <row r="80" spans="1:7" x14ac:dyDescent="0.2">
      <c r="A80" t="str">
        <f t="shared" si="31"/>
        <v>H-10-6</v>
      </c>
      <c r="B80">
        <f t="shared" si="32"/>
        <v>40</v>
      </c>
      <c r="C80">
        <f t="shared" si="33"/>
        <v>10</v>
      </c>
      <c r="D80" s="1">
        <f t="shared" si="19"/>
        <v>40.001803218836798</v>
      </c>
      <c r="E80">
        <v>6</v>
      </c>
      <c r="F80" s="1">
        <f t="shared" si="20"/>
        <v>36.888196781163202</v>
      </c>
      <c r="G80" s="1">
        <f t="shared" si="21"/>
        <v>-45.089999999999996</v>
      </c>
    </row>
    <row r="81" spans="1:7" x14ac:dyDescent="0.2">
      <c r="A81" t="str">
        <f t="shared" si="31"/>
        <v>H-10-7</v>
      </c>
      <c r="B81">
        <f t="shared" si="32"/>
        <v>40</v>
      </c>
      <c r="C81">
        <f t="shared" si="33"/>
        <v>10</v>
      </c>
      <c r="D81" s="1">
        <f t="shared" si="19"/>
        <v>40.001803218836798</v>
      </c>
      <c r="E81">
        <v>7</v>
      </c>
      <c r="F81" s="1">
        <f t="shared" si="20"/>
        <v>36.888196781163202</v>
      </c>
      <c r="G81" s="1">
        <f t="shared" si="21"/>
        <v>-46.309999999999995</v>
      </c>
    </row>
    <row r="82" spans="1:7" x14ac:dyDescent="0.2">
      <c r="A82" t="str">
        <f t="shared" si="31"/>
        <v>H-10-8</v>
      </c>
      <c r="B82">
        <f t="shared" si="32"/>
        <v>40</v>
      </c>
      <c r="C82">
        <f t="shared" si="33"/>
        <v>10</v>
      </c>
      <c r="D82" s="1">
        <f t="shared" si="19"/>
        <v>40.001803218836798</v>
      </c>
      <c r="E82">
        <v>8</v>
      </c>
      <c r="F82" s="1">
        <f t="shared" si="20"/>
        <v>36.888196781163202</v>
      </c>
      <c r="G82" s="1">
        <f t="shared" si="21"/>
        <v>-47.529999999999994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16</vt:i4>
      </vt:variant>
    </vt:vector>
  </HeadingPairs>
  <TitlesOfParts>
    <vt:vector size="25" baseType="lpstr">
      <vt:lpstr>Plan</vt:lpstr>
      <vt:lpstr>All</vt:lpstr>
      <vt:lpstr>Distances</vt:lpstr>
      <vt:lpstr>Lookups</vt:lpstr>
      <vt:lpstr>Lanes</vt:lpstr>
      <vt:lpstr>Landmarks</vt:lpstr>
      <vt:lpstr>Starts</vt:lpstr>
      <vt:lpstr>Relays</vt:lpstr>
      <vt:lpstr>Hurdles</vt:lpstr>
      <vt:lpstr>AllPoints</vt:lpstr>
      <vt:lpstr>Data</vt:lpstr>
      <vt:lpstr>DIstanceMultiplier</vt:lpstr>
      <vt:lpstr>FullLap</vt:lpstr>
      <vt:lpstr>Lane1Max</vt:lpstr>
      <vt:lpstr>Lane2Max</vt:lpstr>
      <vt:lpstr>Lane3Max</vt:lpstr>
      <vt:lpstr>Lane4Max</vt:lpstr>
      <vt:lpstr>Lane5Max</vt:lpstr>
      <vt:lpstr>Lane6Max</vt:lpstr>
      <vt:lpstr>Lane7Max</vt:lpstr>
      <vt:lpstr>Lane8Max</vt:lpstr>
      <vt:lpstr>Lane9Max</vt:lpstr>
      <vt:lpstr>OutRadius</vt:lpstr>
      <vt:lpstr>Radius</vt:lpstr>
      <vt:lpstr>Straight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Barlow</dc:creator>
  <cp:lastModifiedBy>Steven Barlow</cp:lastModifiedBy>
  <dcterms:created xsi:type="dcterms:W3CDTF">2023-08-05T08:11:50Z</dcterms:created>
  <dcterms:modified xsi:type="dcterms:W3CDTF">2024-08-24T23:24:09Z</dcterms:modified>
</cp:coreProperties>
</file>